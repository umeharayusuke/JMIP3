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\JMIP3\analysis\"/>
    </mc:Choice>
  </mc:AlternateContent>
  <xr:revisionPtr revIDLastSave="0" documentId="13_ncr:9_{DFC12E0F-6CA5-43B5-BCEA-62369C8C0795}" xr6:coauthVersionLast="47" xr6:coauthVersionMax="47" xr10:uidLastSave="{00000000-0000-0000-0000-000000000000}"/>
  <bookViews>
    <workbookView xWindow="-22560" yWindow="-19650" windowWidth="25350" windowHeight="17230" activeTab="5" xr2:uid="{590D0006-B427-4056-9048-059627120A44}"/>
  </bookViews>
  <sheets>
    <sheet name="2025" sheetId="6" r:id="rId1"/>
    <sheet name="2050" sheetId="3" r:id="rId2"/>
    <sheet name="2100" sheetId="7" r:id="rId3"/>
    <sheet name="LCOE" sheetId="8" r:id="rId4"/>
    <sheet name="LCOE2" sheetId="9" r:id="rId5"/>
    <sheet name="LCOE3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/>
  <c r="G7" i="7"/>
  <c r="G5" i="7"/>
  <c r="G4" i="7"/>
  <c r="G2" i="7"/>
  <c r="J10" i="7"/>
  <c r="K10" i="7" s="1"/>
  <c r="J9" i="7"/>
  <c r="K9" i="7" s="1"/>
  <c r="J8" i="7"/>
  <c r="K8" i="7" s="1"/>
  <c r="J7" i="7"/>
  <c r="K7" i="7" s="1"/>
  <c r="K6" i="7"/>
  <c r="J6" i="7"/>
  <c r="J5" i="7"/>
  <c r="K5" i="7" s="1"/>
  <c r="J4" i="7"/>
  <c r="K4" i="7" s="1"/>
  <c r="J3" i="7"/>
  <c r="K3" i="7" s="1"/>
  <c r="G3" i="7"/>
  <c r="J2" i="7"/>
  <c r="K2" i="7" s="1"/>
  <c r="G8" i="6"/>
  <c r="G7" i="6"/>
  <c r="G5" i="6"/>
  <c r="G4" i="6"/>
  <c r="G3" i="6"/>
  <c r="G2" i="6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J2" i="6"/>
  <c r="K2" i="6" s="1"/>
  <c r="L7" i="3"/>
  <c r="L5" i="3"/>
  <c r="L3" i="3"/>
  <c r="K7" i="3"/>
  <c r="K5" i="3"/>
  <c r="K3" i="3"/>
  <c r="J7" i="3"/>
  <c r="J5" i="3"/>
  <c r="J3" i="3"/>
  <c r="J2" i="3"/>
  <c r="G7" i="3"/>
  <c r="G8" i="3"/>
  <c r="G5" i="3"/>
  <c r="G4" i="3"/>
  <c r="G3" i="3"/>
  <c r="G2" i="3"/>
  <c r="K2" i="3" s="1"/>
  <c r="J10" i="3"/>
  <c r="K10" i="3" s="1"/>
  <c r="J9" i="3"/>
  <c r="K9" i="3" s="1"/>
  <c r="J8" i="3"/>
  <c r="K8" i="3" s="1"/>
  <c r="J6" i="3"/>
  <c r="K6" i="3" s="1"/>
  <c r="J4" i="3"/>
  <c r="K4" i="3" s="1"/>
  <c r="L8" i="7" l="1"/>
  <c r="L9" i="7"/>
  <c r="L7" i="7"/>
  <c r="L3" i="7"/>
  <c r="L5" i="7"/>
  <c r="L2" i="7"/>
  <c r="L4" i="7"/>
  <c r="L6" i="7"/>
  <c r="L10" i="7"/>
  <c r="L2" i="6"/>
  <c r="L3" i="6"/>
  <c r="L4" i="6"/>
  <c r="L7" i="6"/>
  <c r="L9" i="6"/>
  <c r="L6" i="6"/>
  <c r="L8" i="6"/>
  <c r="L5" i="6"/>
  <c r="L10" i="6"/>
  <c r="L10" i="3"/>
  <c r="L2" i="3"/>
  <c r="L6" i="3"/>
  <c r="L8" i="3"/>
  <c r="L4" i="3"/>
  <c r="L9" i="3"/>
</calcChain>
</file>

<file path=xl/sharedStrings.xml><?xml version="1.0" encoding="utf-8"?>
<sst xmlns="http://schemas.openxmlformats.org/spreadsheetml/2006/main" count="106" uniqueCount="30">
  <si>
    <t>eff</t>
    <phoneticPr fontId="1"/>
  </si>
  <si>
    <t>Coal</t>
    <phoneticPr fontId="1"/>
  </si>
  <si>
    <t>Gas</t>
    <phoneticPr fontId="1"/>
  </si>
  <si>
    <t>Nuc</t>
    <phoneticPr fontId="1"/>
  </si>
  <si>
    <t>Bio</t>
    <phoneticPr fontId="1"/>
  </si>
  <si>
    <t>SPV</t>
    <phoneticPr fontId="1"/>
  </si>
  <si>
    <t>Win</t>
    <phoneticPr fontId="1"/>
  </si>
  <si>
    <t>life(year)</t>
    <phoneticPr fontId="1"/>
  </si>
  <si>
    <t>r(-)</t>
    <phoneticPr fontId="1"/>
  </si>
  <si>
    <t>cf(-)</t>
    <phoneticPr fontId="1"/>
  </si>
  <si>
    <t>OM_Cos_Fix</t>
    <phoneticPr fontId="1"/>
  </si>
  <si>
    <t>OM_Cos_Var</t>
    <phoneticPr fontId="1"/>
  </si>
  <si>
    <t>Eff_Ele</t>
    <phoneticPr fontId="1"/>
  </si>
  <si>
    <t>Initial($/kW)</t>
    <phoneticPr fontId="1"/>
  </si>
  <si>
    <t>LCOE</t>
    <phoneticPr fontId="1"/>
  </si>
  <si>
    <t>Prc_Prm_Ene*0.0036</t>
    <phoneticPr fontId="1"/>
  </si>
  <si>
    <t>Fuel($/kWh)</t>
    <phoneticPr fontId="1"/>
  </si>
  <si>
    <t>OM($/kW/yr)</t>
    <phoneticPr fontId="1"/>
  </si>
  <si>
    <t>vOM($/kW/yr)</t>
    <phoneticPr fontId="1"/>
  </si>
  <si>
    <t>LCOE2</t>
    <phoneticPr fontId="1"/>
  </si>
  <si>
    <t>rank</t>
    <phoneticPr fontId="1"/>
  </si>
  <si>
    <t>Coal_CCS</t>
    <phoneticPr fontId="1"/>
  </si>
  <si>
    <t>Gas_CCS</t>
    <phoneticPr fontId="1"/>
  </si>
  <si>
    <t>Bio_CCS</t>
    <phoneticPr fontId="1"/>
  </si>
  <si>
    <t>Win_ons</t>
    <phoneticPr fontId="1"/>
  </si>
  <si>
    <r>
      <rPr>
        <b/>
        <sz val="11"/>
        <color theme="1"/>
        <rFont val="游ゴシック"/>
        <family val="3"/>
        <charset val="128"/>
        <scheme val="minor"/>
      </rPr>
      <t>Technoeconomic.gdx</t>
    </r>
    <r>
      <rPr>
        <sz val="11"/>
        <color theme="1"/>
        <rFont val="游ゴシック"/>
        <family val="2"/>
        <charset val="128"/>
        <scheme val="minor"/>
      </rPr>
      <t xml:space="preserve">
CapFac_load</t>
    </r>
    <phoneticPr fontId="1"/>
  </si>
  <si>
    <t>Technoeconomic.gdx</t>
    <phoneticPr fontId="1"/>
  </si>
  <si>
    <r>
      <t xml:space="preserve">Technoeconomic.gdx
</t>
    </r>
    <r>
      <rPr>
        <b/>
        <sz val="11"/>
        <color theme="1"/>
        <rFont val="游ゴシック"/>
        <family val="3"/>
        <charset val="128"/>
        <scheme val="minor"/>
      </rPr>
      <t>Cap_Cos_Ele</t>
    </r>
    <phoneticPr fontId="1"/>
  </si>
  <si>
    <t>Reference</t>
    <phoneticPr fontId="1"/>
  </si>
  <si>
    <t>Ene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</si>
</sst>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177" fontId="0" fillId="3" borderId="0" xfId="0" applyNumberForma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CB8E-698E-4AC8-8337-ADAED30E9845}">
  <dimension ref="A1:L11"/>
  <sheetViews>
    <sheetView workbookViewId="0">
      <selection activeCell="J2" sqref="J2:J10"/>
    </sheetView>
  </sheetViews>
  <sheetFormatPr defaultRowHeight="18.75" x14ac:dyDescent="0.4"/>
  <cols>
    <col min="1" max="1" width="13.75" customWidth="1"/>
    <col min="2" max="2" width="23.625" customWidth="1"/>
    <col min="7" max="7" width="18.25" customWidth="1"/>
    <col min="8" max="8" width="22.5" customWidth="1"/>
  </cols>
  <sheetData>
    <row r="1" spans="1:12" x14ac:dyDescent="0.4">
      <c r="B1" s="6" t="s">
        <v>13</v>
      </c>
      <c r="C1" s="6" t="s">
        <v>7</v>
      </c>
      <c r="D1" s="6" t="s">
        <v>8</v>
      </c>
      <c r="E1" s="6" t="s">
        <v>17</v>
      </c>
      <c r="F1" s="6" t="s">
        <v>18</v>
      </c>
      <c r="G1" s="6" t="s">
        <v>16</v>
      </c>
      <c r="H1" s="6" t="s">
        <v>9</v>
      </c>
      <c r="I1" s="6" t="s">
        <v>0</v>
      </c>
      <c r="J1" s="7" t="s">
        <v>14</v>
      </c>
      <c r="K1" s="7" t="s">
        <v>19</v>
      </c>
      <c r="L1" s="7" t="s">
        <v>20</v>
      </c>
    </row>
    <row r="2" spans="1:12" x14ac:dyDescent="0.4">
      <c r="A2" s="6" t="s">
        <v>1</v>
      </c>
      <c r="B2" s="2">
        <v>2036</v>
      </c>
      <c r="C2" s="2">
        <v>40</v>
      </c>
      <c r="D2" s="2">
        <v>0.05</v>
      </c>
      <c r="E2">
        <v>56.9</v>
      </c>
      <c r="F2">
        <v>10</v>
      </c>
      <c r="G2">
        <f>3.3*0.0036</f>
        <v>1.1879999999999998E-2</v>
      </c>
      <c r="H2" s="2">
        <v>0.6</v>
      </c>
      <c r="I2">
        <v>0.49</v>
      </c>
      <c r="J2" s="4">
        <f>B2*(D2/(1-(1/(1+D2)^C2)))/(8760*H2)+E2/(8760*H2)+F2/(8760*H2)+G2/I2</f>
        <v>5.9548234362160696E-2</v>
      </c>
      <c r="K2" s="5">
        <f>J2*100</f>
        <v>5.9548234362160697</v>
      </c>
      <c r="L2" s="3">
        <f t="shared" ref="L2:L10" si="0">_xlfn.RANK.EQ(K2,$K$2:$K$10,1)</f>
        <v>1</v>
      </c>
    </row>
    <row r="3" spans="1:12" x14ac:dyDescent="0.4">
      <c r="A3" s="6" t="s">
        <v>21</v>
      </c>
      <c r="B3">
        <v>3307</v>
      </c>
      <c r="C3" s="2">
        <v>40</v>
      </c>
      <c r="D3" s="2">
        <v>0.05</v>
      </c>
      <c r="E3">
        <v>69.3</v>
      </c>
      <c r="F3">
        <v>10</v>
      </c>
      <c r="G3">
        <f>3.3*0.0036</f>
        <v>1.1879999999999998E-2</v>
      </c>
      <c r="H3" s="2">
        <v>0.6</v>
      </c>
      <c r="I3">
        <v>0.49</v>
      </c>
      <c r="J3" s="4">
        <f>B3*(D3/(1-(1/(1+D3)^C3)))/(8760*H3)+E3/(8760*H3)+F3/(8760*H3)+G3/I3</f>
        <v>7.6000202178376552E-2</v>
      </c>
      <c r="K3" s="5">
        <f>J3*100</f>
        <v>7.6000202178376552</v>
      </c>
      <c r="L3" s="3">
        <f t="shared" si="0"/>
        <v>3</v>
      </c>
    </row>
    <row r="4" spans="1:12" x14ac:dyDescent="0.4">
      <c r="A4" s="6" t="s">
        <v>2</v>
      </c>
      <c r="B4" s="2">
        <v>839</v>
      </c>
      <c r="C4" s="2">
        <v>40</v>
      </c>
      <c r="D4" s="2">
        <v>0.05</v>
      </c>
      <c r="E4">
        <v>26</v>
      </c>
      <c r="F4">
        <v>25</v>
      </c>
      <c r="G4">
        <f>11.7*0.0036</f>
        <v>4.2119999999999998E-2</v>
      </c>
      <c r="H4" s="2">
        <v>0.4</v>
      </c>
      <c r="I4">
        <v>0.5</v>
      </c>
      <c r="J4" s="4">
        <f>B4*(D4/(1-(1/(1+D4)^C4)))/(8760*H4)+E4/(8760*H4)+F4/(8760*H4)+G4/I4</f>
        <v>0.11274895468558885</v>
      </c>
      <c r="K4" s="5">
        <f t="shared" ref="K4:K10" si="1">J4*100</f>
        <v>11.274895468558885</v>
      </c>
      <c r="L4" s="3">
        <f t="shared" si="0"/>
        <v>5</v>
      </c>
    </row>
    <row r="5" spans="1:12" x14ac:dyDescent="0.4">
      <c r="A5" s="6" t="s">
        <v>22</v>
      </c>
      <c r="B5">
        <v>1984</v>
      </c>
      <c r="C5" s="2">
        <v>40</v>
      </c>
      <c r="D5" s="2">
        <v>0.05</v>
      </c>
      <c r="E5">
        <v>37</v>
      </c>
      <c r="F5">
        <v>25</v>
      </c>
      <c r="G5">
        <f>11.7*0.0036</f>
        <v>4.2119999999999998E-2</v>
      </c>
      <c r="H5" s="2">
        <v>0.4</v>
      </c>
      <c r="I5">
        <v>0.5</v>
      </c>
      <c r="J5" s="4">
        <f>B5*(D5/(1-(1/(1+D5)^C5)))/(8760*H5)+E5/(8760*H5)+F5/(8760*H5)+G5/I5</f>
        <v>0.13493174422186455</v>
      </c>
      <c r="K5" s="5">
        <f t="shared" si="1"/>
        <v>13.493174422186454</v>
      </c>
      <c r="L5" s="3">
        <f t="shared" si="0"/>
        <v>7</v>
      </c>
    </row>
    <row r="6" spans="1:12" x14ac:dyDescent="0.4">
      <c r="A6" s="6" t="s">
        <v>3</v>
      </c>
      <c r="B6">
        <v>5188</v>
      </c>
      <c r="C6" s="2">
        <v>40</v>
      </c>
      <c r="D6" s="2">
        <v>0.05</v>
      </c>
      <c r="E6">
        <v>128</v>
      </c>
      <c r="F6" s="2">
        <v>0</v>
      </c>
      <c r="G6" s="2">
        <v>0</v>
      </c>
      <c r="H6" s="2">
        <v>0.8</v>
      </c>
      <c r="I6" s="2">
        <v>9999</v>
      </c>
      <c r="J6" s="4">
        <f t="shared" ref="J6:J10" si="2">B6*(D6/(1-(1/(1+D6)^C6)))/(8760*H6)+E6/(8760*H6)+F6/(8760*H6)+G6/I6</f>
        <v>6.1407976616636634E-2</v>
      </c>
      <c r="K6" s="5">
        <f t="shared" si="1"/>
        <v>6.1407976616636635</v>
      </c>
      <c r="L6" s="3">
        <f t="shared" si="0"/>
        <v>2</v>
      </c>
    </row>
    <row r="7" spans="1:12" x14ac:dyDescent="0.4">
      <c r="A7" s="6" t="s">
        <v>4</v>
      </c>
      <c r="B7">
        <v>2780</v>
      </c>
      <c r="C7" s="2">
        <v>40</v>
      </c>
      <c r="D7" s="2">
        <v>0.05</v>
      </c>
      <c r="E7">
        <v>55</v>
      </c>
      <c r="F7" s="2">
        <v>0</v>
      </c>
      <c r="G7">
        <f>18*0.0036</f>
        <v>6.4799999999999996E-2</v>
      </c>
      <c r="H7" s="2">
        <v>0.6</v>
      </c>
      <c r="I7" s="2">
        <v>0.3</v>
      </c>
      <c r="J7" s="4">
        <f t="shared" si="2"/>
        <v>0.25728867732906724</v>
      </c>
      <c r="K7" s="5">
        <f t="shared" si="1"/>
        <v>25.728867732906725</v>
      </c>
      <c r="L7" s="3">
        <f t="shared" si="0"/>
        <v>8</v>
      </c>
    </row>
    <row r="8" spans="1:12" x14ac:dyDescent="0.4">
      <c r="A8" s="6" t="s">
        <v>23</v>
      </c>
      <c r="B8">
        <v>5873</v>
      </c>
      <c r="C8" s="2">
        <v>40</v>
      </c>
      <c r="D8" s="2">
        <v>0.05</v>
      </c>
      <c r="E8">
        <v>90</v>
      </c>
      <c r="F8" s="2">
        <v>0</v>
      </c>
      <c r="G8">
        <f>18*0.0036</f>
        <v>6.4799999999999996E-2</v>
      </c>
      <c r="H8" s="2">
        <v>0.6</v>
      </c>
      <c r="I8" s="2">
        <v>0.3</v>
      </c>
      <c r="J8" s="4">
        <f t="shared" si="2"/>
        <v>0.29824270177475715</v>
      </c>
      <c r="K8" s="5">
        <f t="shared" si="1"/>
        <v>29.824270177475714</v>
      </c>
      <c r="L8" s="3">
        <f t="shared" si="0"/>
        <v>9</v>
      </c>
    </row>
    <row r="9" spans="1:12" x14ac:dyDescent="0.4">
      <c r="A9" s="6" t="s">
        <v>5</v>
      </c>
      <c r="B9">
        <v>2693</v>
      </c>
      <c r="C9" s="2">
        <v>25</v>
      </c>
      <c r="D9" s="2">
        <v>0.05</v>
      </c>
      <c r="E9">
        <v>12</v>
      </c>
      <c r="F9" s="2">
        <v>0</v>
      </c>
      <c r="G9" s="2">
        <v>0</v>
      </c>
      <c r="H9">
        <v>0.19</v>
      </c>
      <c r="I9" s="2">
        <v>9999</v>
      </c>
      <c r="J9" s="4">
        <f>B9*(D9/(1-(1/(1+D9)^C9)))/(8760*H9)+E9/(8760*H9)+F9/(8760*H9)+G9/I9</f>
        <v>0.12201091534896982</v>
      </c>
      <c r="K9" s="5">
        <f t="shared" si="1"/>
        <v>12.201091534896982</v>
      </c>
      <c r="L9" s="3">
        <f t="shared" si="0"/>
        <v>6</v>
      </c>
    </row>
    <row r="10" spans="1:12" x14ac:dyDescent="0.4">
      <c r="A10" s="6" t="s">
        <v>24</v>
      </c>
      <c r="B10">
        <v>4109</v>
      </c>
      <c r="C10" s="2">
        <v>25</v>
      </c>
      <c r="D10" s="2">
        <v>0.05</v>
      </c>
      <c r="E10">
        <v>12</v>
      </c>
      <c r="F10" s="2">
        <v>0</v>
      </c>
      <c r="G10" s="2">
        <v>0</v>
      </c>
      <c r="H10">
        <v>0.32</v>
      </c>
      <c r="I10" s="2">
        <v>9999</v>
      </c>
      <c r="J10" s="4">
        <f t="shared" si="2"/>
        <v>0.10828469143926031</v>
      </c>
      <c r="K10" s="5">
        <f t="shared" si="1"/>
        <v>10.82846914392603</v>
      </c>
      <c r="L10" s="3">
        <f t="shared" si="0"/>
        <v>4</v>
      </c>
    </row>
    <row r="11" spans="1:12" ht="92.25" x14ac:dyDescent="0.4">
      <c r="A11" s="6" t="s">
        <v>28</v>
      </c>
      <c r="B11" s="1" t="s">
        <v>27</v>
      </c>
      <c r="C11" s="6" t="s">
        <v>26</v>
      </c>
      <c r="D11">
        <v>0.05</v>
      </c>
      <c r="E11" t="s">
        <v>10</v>
      </c>
      <c r="F11" t="s">
        <v>11</v>
      </c>
      <c r="G11" t="s">
        <v>15</v>
      </c>
      <c r="H11" s="8" t="s">
        <v>25</v>
      </c>
      <c r="I11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948F-36EF-4E2F-AD6E-0BFBCABAD7EA}">
  <dimension ref="A1:L11"/>
  <sheetViews>
    <sheetView workbookViewId="0">
      <selection activeCell="J2" sqref="J2:J10"/>
    </sheetView>
  </sheetViews>
  <sheetFormatPr defaultRowHeight="18.75" x14ac:dyDescent="0.4"/>
  <cols>
    <col min="1" max="1" width="14.875" customWidth="1"/>
    <col min="2" max="2" width="19.25" customWidth="1"/>
    <col min="3" max="3" width="20.875" customWidth="1"/>
    <col min="5" max="5" width="15.125" customWidth="1"/>
    <col min="6" max="6" width="15.875" customWidth="1"/>
    <col min="7" max="7" width="20" customWidth="1"/>
    <col min="8" max="8" width="24.75" customWidth="1"/>
  </cols>
  <sheetData>
    <row r="1" spans="1:12" x14ac:dyDescent="0.4">
      <c r="B1" s="6" t="s">
        <v>13</v>
      </c>
      <c r="C1" s="6" t="s">
        <v>7</v>
      </c>
      <c r="D1" s="6" t="s">
        <v>8</v>
      </c>
      <c r="E1" s="6" t="s">
        <v>17</v>
      </c>
      <c r="F1" s="6" t="s">
        <v>18</v>
      </c>
      <c r="G1" s="6" t="s">
        <v>16</v>
      </c>
      <c r="H1" s="6" t="s">
        <v>9</v>
      </c>
      <c r="I1" s="6" t="s">
        <v>0</v>
      </c>
      <c r="J1" s="7" t="s">
        <v>14</v>
      </c>
      <c r="K1" s="7" t="s">
        <v>19</v>
      </c>
      <c r="L1" s="7" t="s">
        <v>20</v>
      </c>
    </row>
    <row r="2" spans="1:12" x14ac:dyDescent="0.4">
      <c r="A2" s="6" t="s">
        <v>1</v>
      </c>
      <c r="B2" s="2">
        <v>2036</v>
      </c>
      <c r="C2" s="2">
        <v>40</v>
      </c>
      <c r="D2" s="2">
        <v>0.05</v>
      </c>
      <c r="E2">
        <v>66</v>
      </c>
      <c r="F2">
        <v>16</v>
      </c>
      <c r="G2">
        <f>3.2*0.0036</f>
        <v>1.1520000000000001E-2</v>
      </c>
      <c r="H2" s="2">
        <v>0.6</v>
      </c>
      <c r="I2">
        <v>0.37</v>
      </c>
      <c r="J2" s="4">
        <f>B2*(D2/(1-(1/(1+D2)^C2)))/(8760*H2)+E2/(8760*H2)+F2/(8760*H2)+G2/I2</f>
        <v>6.931137869184123E-2</v>
      </c>
      <c r="K2" s="5">
        <f>J2*100</f>
        <v>6.9311378691841234</v>
      </c>
      <c r="L2" s="3">
        <f t="shared" ref="L2:L10" si="0">_xlfn.RANK.EQ(K2,$K$2:$K$10,1)</f>
        <v>3</v>
      </c>
    </row>
    <row r="3" spans="1:12" x14ac:dyDescent="0.4">
      <c r="A3" s="6" t="s">
        <v>21</v>
      </c>
      <c r="B3">
        <v>2697</v>
      </c>
      <c r="C3" s="2">
        <v>40</v>
      </c>
      <c r="D3" s="2">
        <v>0.05</v>
      </c>
      <c r="E3">
        <v>62</v>
      </c>
      <c r="F3">
        <v>16</v>
      </c>
      <c r="G3">
        <f>3.2*0.0036</f>
        <v>1.1520000000000001E-2</v>
      </c>
      <c r="H3" s="2">
        <v>0.6</v>
      </c>
      <c r="I3">
        <v>0.37</v>
      </c>
      <c r="J3" s="4">
        <f>B3*(D3/(1-(1/(1+D3)^C3)))/(8760*H3)+E3/(8760*H3)+F3/(8760*H3)+G3/I3</f>
        <v>7.5879465550811764E-2</v>
      </c>
      <c r="K3" s="5">
        <f>J3*100</f>
        <v>7.5879465550811762</v>
      </c>
      <c r="L3" s="3">
        <f t="shared" si="0"/>
        <v>4</v>
      </c>
    </row>
    <row r="4" spans="1:12" x14ac:dyDescent="0.4">
      <c r="A4" s="6" t="s">
        <v>2</v>
      </c>
      <c r="B4" s="2">
        <v>839</v>
      </c>
      <c r="C4" s="2">
        <v>40</v>
      </c>
      <c r="D4" s="2">
        <v>0.05</v>
      </c>
      <c r="E4">
        <v>44</v>
      </c>
      <c r="F4">
        <v>24</v>
      </c>
      <c r="G4">
        <f>10.6*0.0036</f>
        <v>3.8159999999999999E-2</v>
      </c>
      <c r="H4" s="2">
        <v>0.4</v>
      </c>
      <c r="I4">
        <v>0.45</v>
      </c>
      <c r="J4" s="4">
        <f>B4*(D4/(1-(1/(1+D4)^C4)))/(8760*H4)+E4/(8760*H4)+F4/(8760*H4)+G4/I4</f>
        <v>0.11816055285910484</v>
      </c>
      <c r="K4" s="5">
        <f t="shared" ref="K4:K10" si="1">J4*100</f>
        <v>11.816055285910485</v>
      </c>
      <c r="L4" s="3">
        <f t="shared" si="0"/>
        <v>6</v>
      </c>
    </row>
    <row r="5" spans="1:12" x14ac:dyDescent="0.4">
      <c r="A5" s="6" t="s">
        <v>22</v>
      </c>
      <c r="B5">
        <v>1755</v>
      </c>
      <c r="C5" s="2">
        <v>40</v>
      </c>
      <c r="D5" s="2">
        <v>0.05</v>
      </c>
      <c r="E5">
        <v>34</v>
      </c>
      <c r="F5">
        <v>24</v>
      </c>
      <c r="G5">
        <f>10.6*0.0036</f>
        <v>3.8159999999999999E-2</v>
      </c>
      <c r="H5" s="2">
        <v>0.4</v>
      </c>
      <c r="I5">
        <v>0.45</v>
      </c>
      <c r="J5" s="4">
        <f>B5*(D5/(1-(1/(1+D5)^C5)))/(8760*H5)+E5/(8760*H5)+F5/(8760*H5)+G5/I5</f>
        <v>0.13054148768447243</v>
      </c>
      <c r="K5" s="5">
        <f t="shared" si="1"/>
        <v>13.054148768447243</v>
      </c>
      <c r="L5" s="3">
        <f t="shared" si="0"/>
        <v>7</v>
      </c>
    </row>
    <row r="6" spans="1:12" x14ac:dyDescent="0.4">
      <c r="A6" s="6" t="s">
        <v>3</v>
      </c>
      <c r="B6">
        <v>4771</v>
      </c>
      <c r="C6" s="2">
        <v>40</v>
      </c>
      <c r="D6" s="2">
        <v>0.05</v>
      </c>
      <c r="E6">
        <v>120</v>
      </c>
      <c r="F6" s="2">
        <v>0</v>
      </c>
      <c r="G6" s="2">
        <v>0</v>
      </c>
      <c r="H6" s="2">
        <v>0.8</v>
      </c>
      <c r="I6" s="2">
        <v>9999</v>
      </c>
      <c r="J6" s="4">
        <f t="shared" ref="J6:J10" si="2">B6*(D6/(1-(1/(1+D6)^C6)))/(8760*H6)+E6/(8760*H6)+F6/(8760*H6)+G6/I6</f>
        <v>5.6798673933098315E-2</v>
      </c>
      <c r="K6" s="5">
        <f t="shared" si="1"/>
        <v>5.6798673933098316</v>
      </c>
      <c r="L6" s="3">
        <f t="shared" si="0"/>
        <v>2</v>
      </c>
    </row>
    <row r="7" spans="1:12" x14ac:dyDescent="0.4">
      <c r="A7" s="6" t="s">
        <v>4</v>
      </c>
      <c r="B7">
        <v>2683</v>
      </c>
      <c r="C7" s="2">
        <v>40</v>
      </c>
      <c r="D7" s="2">
        <v>0.05</v>
      </c>
      <c r="E7">
        <v>54</v>
      </c>
      <c r="F7" s="2">
        <v>0</v>
      </c>
      <c r="G7">
        <f>48*0.0036</f>
        <v>0.17280000000000001</v>
      </c>
      <c r="H7" s="2">
        <v>0.6</v>
      </c>
      <c r="I7" s="2">
        <v>0.3</v>
      </c>
      <c r="J7" s="4">
        <f t="shared" si="2"/>
        <v>0.61602288934712179</v>
      </c>
      <c r="K7" s="5">
        <f t="shared" si="1"/>
        <v>61.602288934712178</v>
      </c>
      <c r="L7" s="3">
        <f t="shared" si="0"/>
        <v>8</v>
      </c>
    </row>
    <row r="8" spans="1:12" x14ac:dyDescent="0.4">
      <c r="A8" s="6" t="s">
        <v>23</v>
      </c>
      <c r="B8">
        <v>5830</v>
      </c>
      <c r="C8" s="2">
        <v>40</v>
      </c>
      <c r="D8" s="2">
        <v>0.05</v>
      </c>
      <c r="E8">
        <v>90</v>
      </c>
      <c r="F8" s="2">
        <v>0</v>
      </c>
      <c r="G8">
        <f>48*0.0036</f>
        <v>0.17280000000000001</v>
      </c>
      <c r="H8" s="2">
        <v>0.6</v>
      </c>
      <c r="I8" s="2">
        <v>0.3</v>
      </c>
      <c r="J8" s="4">
        <f t="shared" si="2"/>
        <v>0.65776592077587226</v>
      </c>
      <c r="K8" s="5">
        <f t="shared" si="1"/>
        <v>65.776592077587225</v>
      </c>
      <c r="L8" s="3">
        <f t="shared" si="0"/>
        <v>9</v>
      </c>
    </row>
    <row r="9" spans="1:12" x14ac:dyDescent="0.4">
      <c r="A9" s="6" t="s">
        <v>5</v>
      </c>
      <c r="B9">
        <v>1121</v>
      </c>
      <c r="C9" s="2">
        <v>25</v>
      </c>
      <c r="D9" s="2">
        <v>0.05</v>
      </c>
      <c r="E9">
        <v>5.9</v>
      </c>
      <c r="F9" s="2">
        <v>0</v>
      </c>
      <c r="G9" s="2">
        <v>0</v>
      </c>
      <c r="H9">
        <v>0.21</v>
      </c>
      <c r="I9" s="2">
        <v>9999</v>
      </c>
      <c r="J9" s="4">
        <f>B9*(D9/(1-(1/(1+D9)^C9)))/(8760*H9)+E9/(8760*H9)+F9/(8760*H9)+G9/I9</f>
        <v>4.6443631567969344E-2</v>
      </c>
      <c r="K9" s="5">
        <f t="shared" si="1"/>
        <v>4.6443631567969348</v>
      </c>
      <c r="L9" s="3">
        <f t="shared" si="0"/>
        <v>1</v>
      </c>
    </row>
    <row r="10" spans="1:12" x14ac:dyDescent="0.4">
      <c r="A10" s="6" t="s">
        <v>24</v>
      </c>
      <c r="B10">
        <v>3781</v>
      </c>
      <c r="C10" s="2">
        <v>25</v>
      </c>
      <c r="D10" s="2">
        <v>0.05</v>
      </c>
      <c r="E10">
        <v>12</v>
      </c>
      <c r="F10" s="2">
        <v>0</v>
      </c>
      <c r="G10" s="2">
        <v>0</v>
      </c>
      <c r="H10">
        <v>0.36699999999999999</v>
      </c>
      <c r="I10" s="2">
        <v>9999</v>
      </c>
      <c r="J10" s="4">
        <f t="shared" si="2"/>
        <v>8.7178294031698217E-2</v>
      </c>
      <c r="K10" s="5">
        <f t="shared" si="1"/>
        <v>8.7178294031698211</v>
      </c>
      <c r="L10" s="3">
        <f t="shared" si="0"/>
        <v>5</v>
      </c>
    </row>
    <row r="11" spans="1:12" ht="37.5" x14ac:dyDescent="0.4">
      <c r="A11" s="6" t="s">
        <v>28</v>
      </c>
      <c r="B11" s="1" t="s">
        <v>27</v>
      </c>
      <c r="C11" s="6" t="s">
        <v>26</v>
      </c>
      <c r="D11">
        <v>0.05</v>
      </c>
      <c r="E11" t="s">
        <v>10</v>
      </c>
      <c r="F11" t="s">
        <v>11</v>
      </c>
      <c r="G11" t="s">
        <v>15</v>
      </c>
      <c r="H11" s="8" t="s">
        <v>25</v>
      </c>
      <c r="I11" t="s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3D63-8827-4E88-8F58-A2A1DBC73EDB}">
  <dimension ref="A1:L11"/>
  <sheetViews>
    <sheetView workbookViewId="0">
      <selection activeCell="J2" sqref="J2:J10"/>
    </sheetView>
  </sheetViews>
  <sheetFormatPr defaultRowHeight="18.75" x14ac:dyDescent="0.4"/>
  <cols>
    <col min="1" max="1" width="14.125" customWidth="1"/>
    <col min="2" max="2" width="22" customWidth="1"/>
    <col min="3" max="3" width="20.75" customWidth="1"/>
    <col min="5" max="5" width="12.75" customWidth="1"/>
    <col min="6" max="6" width="14.625" customWidth="1"/>
    <col min="7" max="7" width="19" customWidth="1"/>
    <col min="8" max="8" width="20.75" customWidth="1"/>
    <col min="12" max="12" width="9" customWidth="1"/>
  </cols>
  <sheetData>
    <row r="1" spans="1:12" x14ac:dyDescent="0.4">
      <c r="B1" s="6" t="s">
        <v>13</v>
      </c>
      <c r="C1" s="6" t="s">
        <v>7</v>
      </c>
      <c r="D1" s="6" t="s">
        <v>8</v>
      </c>
      <c r="E1" s="6" t="s">
        <v>17</v>
      </c>
      <c r="F1" s="6" t="s">
        <v>18</v>
      </c>
      <c r="G1" s="6" t="s">
        <v>16</v>
      </c>
      <c r="H1" s="6" t="s">
        <v>9</v>
      </c>
      <c r="I1" s="6" t="s">
        <v>0</v>
      </c>
      <c r="J1" s="7" t="s">
        <v>14</v>
      </c>
      <c r="K1" s="7" t="s">
        <v>19</v>
      </c>
      <c r="L1" s="7" t="s">
        <v>20</v>
      </c>
    </row>
    <row r="2" spans="1:12" x14ac:dyDescent="0.4">
      <c r="A2" s="6" t="s">
        <v>1</v>
      </c>
      <c r="B2" s="2">
        <v>2036</v>
      </c>
      <c r="C2" s="2">
        <v>40</v>
      </c>
      <c r="D2" s="2">
        <v>0.05</v>
      </c>
      <c r="E2">
        <v>101</v>
      </c>
      <c r="F2">
        <v>16</v>
      </c>
      <c r="G2">
        <f>3.2*0.0036</f>
        <v>1.1520000000000001E-2</v>
      </c>
      <c r="H2" s="2">
        <v>0.6</v>
      </c>
      <c r="I2">
        <v>0.37</v>
      </c>
      <c r="J2" s="4">
        <f>B2*(D2/(1-(1/(1+D2)^C2)))/(8760*H2)+E2/(8760*H2)+F2/(8760*H2)+G2/I2</f>
        <v>7.59704350084318E-2</v>
      </c>
      <c r="K2" s="5">
        <f>J2*100</f>
        <v>7.5970435008431796</v>
      </c>
      <c r="L2" s="3">
        <f t="shared" ref="L2:L10" si="0">_xlfn.RANK.EQ(K2,$K$2:$K$10,1)</f>
        <v>3</v>
      </c>
    </row>
    <row r="3" spans="1:12" x14ac:dyDescent="0.4">
      <c r="A3" s="6" t="s">
        <v>21</v>
      </c>
      <c r="B3">
        <v>4566</v>
      </c>
      <c r="C3" s="2">
        <v>40</v>
      </c>
      <c r="D3" s="2">
        <v>0.05</v>
      </c>
      <c r="E3">
        <v>83</v>
      </c>
      <c r="F3">
        <v>16</v>
      </c>
      <c r="G3">
        <f>3.2*0.0036</f>
        <v>1.1520000000000001E-2</v>
      </c>
      <c r="H3" s="2">
        <v>0.6</v>
      </c>
      <c r="I3">
        <v>0.37</v>
      </c>
      <c r="J3" s="4">
        <f>B3*(D3/(1-(1/(1+D3)^C3)))/(8760*H3)+E3/(8760*H3)+F3/(8760*H3)+G3/I3</f>
        <v>0.10059824089695321</v>
      </c>
      <c r="K3" s="5">
        <f>J3*100</f>
        <v>10.05982408969532</v>
      </c>
      <c r="L3" s="3">
        <f t="shared" si="0"/>
        <v>5</v>
      </c>
    </row>
    <row r="4" spans="1:12" x14ac:dyDescent="0.4">
      <c r="A4" s="6" t="s">
        <v>2</v>
      </c>
      <c r="B4" s="2">
        <v>839</v>
      </c>
      <c r="C4" s="2">
        <v>40</v>
      </c>
      <c r="D4" s="2">
        <v>0.05</v>
      </c>
      <c r="E4">
        <v>44</v>
      </c>
      <c r="F4">
        <v>24</v>
      </c>
      <c r="G4">
        <f>10.5*0.0036</f>
        <v>3.78E-2</v>
      </c>
      <c r="H4" s="2">
        <v>0.4</v>
      </c>
      <c r="I4">
        <v>0.45</v>
      </c>
      <c r="J4" s="4">
        <f>B4*(D4/(1-(1/(1+D4)^C4)))/(8760*H4)+E4/(8760*H4)+F4/(8760*H4)+G4/I4</f>
        <v>0.11736055285910485</v>
      </c>
      <c r="K4" s="5">
        <f t="shared" ref="K4:K10" si="1">J4*100</f>
        <v>11.736055285910485</v>
      </c>
      <c r="L4" s="3">
        <f t="shared" si="0"/>
        <v>6</v>
      </c>
    </row>
    <row r="5" spans="1:12" x14ac:dyDescent="0.4">
      <c r="A5" s="6" t="s">
        <v>22</v>
      </c>
      <c r="B5">
        <v>1715</v>
      </c>
      <c r="C5" s="2">
        <v>40</v>
      </c>
      <c r="D5" s="2">
        <v>0.05</v>
      </c>
      <c r="E5">
        <v>34</v>
      </c>
      <c r="F5">
        <v>24</v>
      </c>
      <c r="G5">
        <f>10.5*0.0036</f>
        <v>3.78E-2</v>
      </c>
      <c r="H5" s="2">
        <v>0.4</v>
      </c>
      <c r="I5">
        <v>0.45</v>
      </c>
      <c r="J5" s="4">
        <f>B5*(D5/(1-(1/(1+D5)^C5)))/(8760*H5)+E5/(8760*H5)+F5/(8760*H5)+G5/I5</f>
        <v>0.1290762118720748</v>
      </c>
      <c r="K5" s="5">
        <f t="shared" si="1"/>
        <v>12.90762118720748</v>
      </c>
      <c r="L5" s="3">
        <f t="shared" si="0"/>
        <v>7</v>
      </c>
    </row>
    <row r="6" spans="1:12" x14ac:dyDescent="0.4">
      <c r="A6" s="6" t="s">
        <v>3</v>
      </c>
      <c r="B6">
        <v>4771</v>
      </c>
      <c r="C6" s="2">
        <v>40</v>
      </c>
      <c r="D6" s="2">
        <v>0.05</v>
      </c>
      <c r="E6">
        <v>120</v>
      </c>
      <c r="F6" s="2">
        <v>0</v>
      </c>
      <c r="G6" s="2">
        <v>0</v>
      </c>
      <c r="H6" s="2">
        <v>0.8</v>
      </c>
      <c r="I6" s="2">
        <v>9999</v>
      </c>
      <c r="J6" s="4">
        <f t="shared" ref="J6:J10" si="2">B6*(D6/(1-(1/(1+D6)^C6)))/(8760*H6)+E6/(8760*H6)+F6/(8760*H6)+G6/I6</f>
        <v>5.6798673933098315E-2</v>
      </c>
      <c r="K6" s="5">
        <f t="shared" si="1"/>
        <v>5.6798673933098316</v>
      </c>
      <c r="L6" s="3">
        <f t="shared" si="0"/>
        <v>2</v>
      </c>
    </row>
    <row r="7" spans="1:12" x14ac:dyDescent="0.4">
      <c r="A7" s="6" t="s">
        <v>4</v>
      </c>
      <c r="B7">
        <v>2683</v>
      </c>
      <c r="C7" s="2">
        <v>40</v>
      </c>
      <c r="D7" s="2">
        <v>0.05</v>
      </c>
      <c r="E7">
        <v>54</v>
      </c>
      <c r="F7" s="2">
        <v>0</v>
      </c>
      <c r="G7">
        <f>62*0.0036</f>
        <v>0.22319999999999998</v>
      </c>
      <c r="H7" s="2">
        <v>0.6</v>
      </c>
      <c r="I7" s="2">
        <v>0.3</v>
      </c>
      <c r="J7" s="4">
        <f t="shared" si="2"/>
        <v>0.78402288934712172</v>
      </c>
      <c r="K7" s="5">
        <f t="shared" si="1"/>
        <v>78.402288934712175</v>
      </c>
      <c r="L7" s="3">
        <f t="shared" si="0"/>
        <v>8</v>
      </c>
    </row>
    <row r="8" spans="1:12" x14ac:dyDescent="0.4">
      <c r="A8" s="6" t="s">
        <v>23</v>
      </c>
      <c r="B8">
        <v>5830</v>
      </c>
      <c r="C8" s="2">
        <v>40</v>
      </c>
      <c r="D8" s="2">
        <v>0.05</v>
      </c>
      <c r="E8">
        <v>90</v>
      </c>
      <c r="F8" s="2">
        <v>0</v>
      </c>
      <c r="G8">
        <f>62*0.0036</f>
        <v>0.22319999999999998</v>
      </c>
      <c r="H8" s="2">
        <v>0.6</v>
      </c>
      <c r="I8" s="2">
        <v>0.3</v>
      </c>
      <c r="J8" s="4">
        <f t="shared" si="2"/>
        <v>0.82576592077587219</v>
      </c>
      <c r="K8" s="5">
        <f t="shared" si="1"/>
        <v>82.576592077587222</v>
      </c>
      <c r="L8" s="3">
        <f t="shared" si="0"/>
        <v>9</v>
      </c>
    </row>
    <row r="9" spans="1:12" x14ac:dyDescent="0.4">
      <c r="A9" s="6" t="s">
        <v>5</v>
      </c>
      <c r="B9">
        <v>1121</v>
      </c>
      <c r="C9" s="2">
        <v>25</v>
      </c>
      <c r="D9" s="2">
        <v>0.05</v>
      </c>
      <c r="E9">
        <v>5.9</v>
      </c>
      <c r="F9" s="2">
        <v>0</v>
      </c>
      <c r="G9" s="2">
        <v>0</v>
      </c>
      <c r="H9">
        <v>0.21</v>
      </c>
      <c r="I9" s="2">
        <v>9999</v>
      </c>
      <c r="J9" s="4">
        <f>B9*(D9/(1-(1/(1+D9)^C9)))/(8760*H9)+E9/(8760*H9)+F9/(8760*H9)+G9/I9</f>
        <v>4.6443631567969344E-2</v>
      </c>
      <c r="K9" s="5">
        <f t="shared" si="1"/>
        <v>4.6443631567969348</v>
      </c>
      <c r="L9" s="3">
        <f t="shared" si="0"/>
        <v>1</v>
      </c>
    </row>
    <row r="10" spans="1:12" x14ac:dyDescent="0.4">
      <c r="A10" s="6" t="s">
        <v>24</v>
      </c>
      <c r="B10">
        <v>3781</v>
      </c>
      <c r="C10" s="2">
        <v>25</v>
      </c>
      <c r="D10" s="2">
        <v>0.05</v>
      </c>
      <c r="E10">
        <v>12</v>
      </c>
      <c r="F10" s="2">
        <v>0</v>
      </c>
      <c r="G10" s="2">
        <v>0</v>
      </c>
      <c r="H10">
        <v>0.36699999999999999</v>
      </c>
      <c r="I10" s="2">
        <v>9999</v>
      </c>
      <c r="J10" s="4">
        <f t="shared" si="2"/>
        <v>8.7178294031698217E-2</v>
      </c>
      <c r="K10" s="5">
        <f t="shared" si="1"/>
        <v>8.7178294031698211</v>
      </c>
      <c r="L10" s="3">
        <f t="shared" si="0"/>
        <v>4</v>
      </c>
    </row>
    <row r="11" spans="1:12" ht="92.25" x14ac:dyDescent="0.4">
      <c r="A11" s="6" t="s">
        <v>28</v>
      </c>
      <c r="B11" s="1" t="s">
        <v>27</v>
      </c>
      <c r="C11" s="6" t="s">
        <v>26</v>
      </c>
      <c r="D11">
        <v>0.05</v>
      </c>
      <c r="E11" t="s">
        <v>10</v>
      </c>
      <c r="F11" t="s">
        <v>11</v>
      </c>
      <c r="G11" t="s">
        <v>15</v>
      </c>
      <c r="H11" s="8" t="s">
        <v>25</v>
      </c>
      <c r="I11" t="s">
        <v>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F710-6549-4E81-9D08-78E21A694172}">
  <dimension ref="A1:D10"/>
  <sheetViews>
    <sheetView workbookViewId="0">
      <selection activeCell="A7" sqref="A7:D8"/>
    </sheetView>
  </sheetViews>
  <sheetFormatPr defaultRowHeight="18.75" x14ac:dyDescent="0.4"/>
  <cols>
    <col min="1" max="1" width="12.625" customWidth="1"/>
    <col min="2" max="2" width="11.625" customWidth="1"/>
  </cols>
  <sheetData>
    <row r="1" spans="1:4" x14ac:dyDescent="0.4">
      <c r="A1" t="s">
        <v>29</v>
      </c>
      <c r="B1">
        <v>2025</v>
      </c>
      <c r="C1">
        <v>2050</v>
      </c>
      <c r="D1">
        <v>2100</v>
      </c>
    </row>
    <row r="2" spans="1:4" x14ac:dyDescent="0.4">
      <c r="A2" s="6" t="s">
        <v>1</v>
      </c>
      <c r="B2">
        <v>5.9548234362160696E-2</v>
      </c>
      <c r="C2">
        <v>6.931137869184123E-2</v>
      </c>
      <c r="D2">
        <v>7.59704350084318E-2</v>
      </c>
    </row>
    <row r="3" spans="1:4" x14ac:dyDescent="0.4">
      <c r="A3" s="6" t="s">
        <v>21</v>
      </c>
      <c r="B3">
        <v>7.6000202178376552E-2</v>
      </c>
      <c r="C3">
        <v>7.5879465550811764E-2</v>
      </c>
      <c r="D3">
        <v>0.10059824089695321</v>
      </c>
    </row>
    <row r="4" spans="1:4" x14ac:dyDescent="0.4">
      <c r="A4" s="6" t="s">
        <v>2</v>
      </c>
      <c r="B4">
        <v>0.11274895468558885</v>
      </c>
      <c r="C4">
        <v>0.11816055285910484</v>
      </c>
      <c r="D4">
        <v>0.11736055285910485</v>
      </c>
    </row>
    <row r="5" spans="1:4" x14ac:dyDescent="0.4">
      <c r="A5" s="6" t="s">
        <v>22</v>
      </c>
      <c r="B5">
        <v>0.13493174422186455</v>
      </c>
      <c r="C5">
        <v>0.13054148768447243</v>
      </c>
      <c r="D5">
        <v>0.1290762118720748</v>
      </c>
    </row>
    <row r="6" spans="1:4" x14ac:dyDescent="0.4">
      <c r="A6" s="6" t="s">
        <v>3</v>
      </c>
      <c r="B6">
        <v>6.1407976616636634E-2</v>
      </c>
      <c r="C6">
        <v>5.6798673933098315E-2</v>
      </c>
      <c r="D6">
        <v>5.6798673933098315E-2</v>
      </c>
    </row>
    <row r="7" spans="1:4" x14ac:dyDescent="0.4">
      <c r="A7" s="6" t="s">
        <v>4</v>
      </c>
      <c r="B7">
        <v>0.25728867732906724</v>
      </c>
      <c r="C7">
        <v>0.61602288934712179</v>
      </c>
      <c r="D7">
        <v>0.78402288934712172</v>
      </c>
    </row>
    <row r="8" spans="1:4" x14ac:dyDescent="0.4">
      <c r="A8" s="6" t="s">
        <v>23</v>
      </c>
      <c r="B8">
        <v>0.29824270177475715</v>
      </c>
      <c r="C8">
        <v>0.65776592077587226</v>
      </c>
      <c r="D8">
        <v>0.82576592077587219</v>
      </c>
    </row>
    <row r="9" spans="1:4" x14ac:dyDescent="0.4">
      <c r="A9" s="6" t="s">
        <v>5</v>
      </c>
      <c r="B9">
        <v>0.12201091534896982</v>
      </c>
      <c r="C9">
        <v>4.6443631567969344E-2</v>
      </c>
      <c r="D9">
        <v>4.6443631567969344E-2</v>
      </c>
    </row>
    <row r="10" spans="1:4" x14ac:dyDescent="0.4">
      <c r="A10" s="6" t="s">
        <v>24</v>
      </c>
      <c r="B10">
        <v>0.10828469143926031</v>
      </c>
      <c r="C10">
        <v>8.7178294031698217E-2</v>
      </c>
      <c r="D10">
        <v>8.7178294031698217E-2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261F-C40A-4C60-8767-714A211CAF38}">
  <dimension ref="A1:D8"/>
  <sheetViews>
    <sheetView workbookViewId="0">
      <selection sqref="A1:D8"/>
    </sheetView>
  </sheetViews>
  <sheetFormatPr defaultRowHeight="18.75" x14ac:dyDescent="0.4"/>
  <sheetData>
    <row r="1" spans="1:4" x14ac:dyDescent="0.4">
      <c r="A1" t="s">
        <v>29</v>
      </c>
      <c r="B1">
        <v>2025</v>
      </c>
      <c r="C1">
        <v>2050</v>
      </c>
      <c r="D1">
        <v>2100</v>
      </c>
    </row>
    <row r="2" spans="1:4" x14ac:dyDescent="0.4">
      <c r="A2" s="6" t="s">
        <v>1</v>
      </c>
      <c r="B2">
        <v>5.9548234362160696E-2</v>
      </c>
      <c r="C2">
        <v>6.931137869184123E-2</v>
      </c>
      <c r="D2">
        <v>7.59704350084318E-2</v>
      </c>
    </row>
    <row r="3" spans="1:4" x14ac:dyDescent="0.4">
      <c r="A3" s="6" t="s">
        <v>21</v>
      </c>
      <c r="B3">
        <v>7.6000202178376552E-2</v>
      </c>
      <c r="C3">
        <v>7.5879465550811764E-2</v>
      </c>
      <c r="D3">
        <v>0.10059824089695321</v>
      </c>
    </row>
    <row r="4" spans="1:4" x14ac:dyDescent="0.4">
      <c r="A4" s="6" t="s">
        <v>2</v>
      </c>
      <c r="B4">
        <v>0.11274895468558885</v>
      </c>
      <c r="C4">
        <v>0.11816055285910484</v>
      </c>
      <c r="D4">
        <v>0.11736055285910485</v>
      </c>
    </row>
    <row r="5" spans="1:4" x14ac:dyDescent="0.4">
      <c r="A5" s="6" t="s">
        <v>22</v>
      </c>
      <c r="B5">
        <v>0.13493174422186455</v>
      </c>
      <c r="C5">
        <v>0.13054148768447243</v>
      </c>
      <c r="D5">
        <v>0.1290762118720748</v>
      </c>
    </row>
    <row r="6" spans="1:4" x14ac:dyDescent="0.4">
      <c r="A6" s="6" t="s">
        <v>3</v>
      </c>
      <c r="B6">
        <v>6.1407976616636634E-2</v>
      </c>
      <c r="C6">
        <v>5.6798673933098315E-2</v>
      </c>
      <c r="D6">
        <v>5.6798673933098315E-2</v>
      </c>
    </row>
    <row r="7" spans="1:4" x14ac:dyDescent="0.4">
      <c r="A7" s="6" t="s">
        <v>5</v>
      </c>
      <c r="B7">
        <v>0.12201091534896982</v>
      </c>
      <c r="C7">
        <v>4.6443631567969344E-2</v>
      </c>
      <c r="D7">
        <v>4.6443631567969344E-2</v>
      </c>
    </row>
    <row r="8" spans="1:4" x14ac:dyDescent="0.4">
      <c r="A8" s="6" t="s">
        <v>24</v>
      </c>
      <c r="B8">
        <v>0.10828469143926031</v>
      </c>
      <c r="C8">
        <v>8.7178294031698217E-2</v>
      </c>
      <c r="D8">
        <v>8.7178294031698217E-2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6322-8660-4F6A-B11F-454FEEB038EC}">
  <dimension ref="A1:D6"/>
  <sheetViews>
    <sheetView tabSelected="1" workbookViewId="0">
      <selection activeCell="L10" sqref="L10"/>
    </sheetView>
  </sheetViews>
  <sheetFormatPr defaultRowHeight="18.75" x14ac:dyDescent="0.4"/>
  <cols>
    <col min="1" max="1" width="12.125" customWidth="1"/>
  </cols>
  <sheetData>
    <row r="1" spans="1:4" x14ac:dyDescent="0.4">
      <c r="A1" t="s">
        <v>29</v>
      </c>
      <c r="B1" s="6">
        <v>2025</v>
      </c>
      <c r="C1" s="6">
        <v>2050</v>
      </c>
      <c r="D1" s="6">
        <v>2100</v>
      </c>
    </row>
    <row r="2" spans="1:4" x14ac:dyDescent="0.4">
      <c r="A2" s="6" t="s">
        <v>3</v>
      </c>
      <c r="B2">
        <v>6.1407976616636634E-2</v>
      </c>
      <c r="C2">
        <v>5.6798673933098315E-2</v>
      </c>
      <c r="D2">
        <v>5.6798673933098315E-2</v>
      </c>
    </row>
    <row r="3" spans="1:4" x14ac:dyDescent="0.4">
      <c r="A3" s="6" t="s">
        <v>5</v>
      </c>
      <c r="B3">
        <v>0.12201091534896982</v>
      </c>
      <c r="C3">
        <v>4.6443631567969344E-2</v>
      </c>
      <c r="D3">
        <v>4.6443631567969344E-2</v>
      </c>
    </row>
    <row r="4" spans="1:4" x14ac:dyDescent="0.4">
      <c r="A4" s="6" t="s">
        <v>6</v>
      </c>
      <c r="B4">
        <v>0.10828469143926031</v>
      </c>
      <c r="C4">
        <v>8.7178294031698217E-2</v>
      </c>
      <c r="D4">
        <v>8.7178294031698217E-2</v>
      </c>
    </row>
    <row r="5" spans="1:4" x14ac:dyDescent="0.4">
      <c r="A5" s="6"/>
    </row>
    <row r="6" spans="1:4" x14ac:dyDescent="0.4">
      <c r="A6" s="6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2025</vt:lpstr>
      <vt:lpstr>2050</vt:lpstr>
      <vt:lpstr>2100</vt:lpstr>
      <vt:lpstr>LCOE</vt:lpstr>
      <vt:lpstr>LCOE2</vt:lpstr>
      <vt:lpstr>LCOE3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umehara.yusuke.26u@st.kyoto-u.ac.jp</dc:creator>
  <cp:lastModifiedBy>umehara.yusuke.26u@st.kyoto-u.ac.jp</cp:lastModifiedBy>
  <dcterms:created xsi:type="dcterms:W3CDTF">2026-02-11T08:12:01Z</dcterms:created>
  <dcterms:modified xsi:type="dcterms:W3CDTF">2026-02-12T12:54:24Z</dcterms:modified>
</cp:coreProperties>
</file>