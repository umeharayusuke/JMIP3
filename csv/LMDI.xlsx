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R\JMIP3\analysis\"/>
    </mc:Choice>
  </mc:AlternateContent>
  <xr:revisionPtr revIDLastSave="0" documentId="13_ncr:1_{1445D817-F636-4C55-836A-F3110209CE7F}" xr6:coauthVersionLast="47" xr6:coauthVersionMax="47" xr10:uidLastSave="{00000000-0000-0000-0000-000000000000}"/>
  <bookViews>
    <workbookView xWindow="-14040" yWindow="-15320" windowWidth="20460" windowHeight="10790" xr2:uid="{C3EECDD1-536A-46AE-B043-4DA9BA619B39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" l="1"/>
  <c r="E4" i="3"/>
  <c r="D4" i="3"/>
  <c r="F3" i="3"/>
  <c r="F2" i="3"/>
  <c r="E3" i="3"/>
  <c r="E2" i="3"/>
  <c r="D3" i="3"/>
  <c r="D2" i="3"/>
</calcChain>
</file>

<file path=xl/sharedStrings.xml><?xml version="1.0" encoding="utf-8"?>
<sst xmlns="http://schemas.openxmlformats.org/spreadsheetml/2006/main" count="6" uniqueCount="6">
  <si>
    <t>GDP</t>
    <phoneticPr fontId="1"/>
  </si>
  <si>
    <t>Ele</t>
    <phoneticPr fontId="1"/>
  </si>
  <si>
    <t>CI</t>
    <phoneticPr fontId="1"/>
  </si>
  <si>
    <t>Gro_Emi</t>
    <phoneticPr fontId="1"/>
  </si>
  <si>
    <t>Gro_Rem</t>
    <phoneticPr fontId="1"/>
  </si>
  <si>
    <t>EI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</si>
</sst>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FD99D-C9C3-4255-ABA6-1991ECFCAE24}">
  <dimension ref="A1:G4"/>
  <sheetViews>
    <sheetView tabSelected="1" workbookViewId="0">
      <selection sqref="A1:G4"/>
    </sheetView>
  </sheetViews>
  <sheetFormatPr defaultRowHeight="18.75" x14ac:dyDescent="0.4"/>
  <sheetData>
    <row r="1" spans="1:7" x14ac:dyDescent="0.4">
      <c r="B1" t="s">
        <v>3</v>
      </c>
      <c r="C1" t="s">
        <v>0</v>
      </c>
      <c r="D1" t="s">
        <v>5</v>
      </c>
      <c r="E1" t="s">
        <v>1</v>
      </c>
      <c r="F1" t="s">
        <v>2</v>
      </c>
      <c r="G1" t="s">
        <v>4</v>
      </c>
    </row>
    <row r="2" spans="1:7" x14ac:dyDescent="0.4">
      <c r="A2">
        <v>2020</v>
      </c>
      <c r="B2">
        <v>1002.47</v>
      </c>
      <c r="C2">
        <v>7196.69</v>
      </c>
      <c r="D2">
        <f>11.14/7196.69</f>
        <v>1.5479338418078312E-3</v>
      </c>
      <c r="E2">
        <f>3.25/11.14</f>
        <v>0.29174147217235186</v>
      </c>
      <c r="F2">
        <f>1002/0.2917</f>
        <v>3435.0359958861841</v>
      </c>
      <c r="G2">
        <v>-0.625309</v>
      </c>
    </row>
    <row r="3" spans="1:7" x14ac:dyDescent="0.4">
      <c r="A3">
        <v>2050</v>
      </c>
      <c r="B3">
        <v>239.613</v>
      </c>
      <c r="C3">
        <v>8954.26</v>
      </c>
      <c r="D3">
        <f>11.5129/8954.26</f>
        <v>1.2857455557466501E-3</v>
      </c>
      <c r="E3">
        <f>9.30393/11.5</f>
        <v>0.80903739130434782</v>
      </c>
      <c r="F3">
        <f>239.613/0.809</f>
        <v>296.1841779975278</v>
      </c>
      <c r="G3">
        <v>-299.52600000000001</v>
      </c>
    </row>
    <row r="4" spans="1:7" x14ac:dyDescent="0.4">
      <c r="A4">
        <v>2100</v>
      </c>
      <c r="B4">
        <v>282.62599999999998</v>
      </c>
      <c r="C4">
        <v>10874.1</v>
      </c>
      <c r="D4">
        <f>22.0728/10874.1</f>
        <v>2.0298507462686568E-3</v>
      </c>
      <c r="E4">
        <f>20.5659/22.0728</f>
        <v>0.93173045558334233</v>
      </c>
      <c r="F4">
        <f>282.626/20.5659</f>
        <v>13.742457174254469</v>
      </c>
      <c r="G4">
        <v>-1526.77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umehara.yusuke.26u@st.kyoto-u.ac.jp</dc:creator>
  <cp:lastModifiedBy>umehara.yusuke.26u@st.kyoto-u.ac.jp</cp:lastModifiedBy>
  <dcterms:created xsi:type="dcterms:W3CDTF">2026-02-11T05:14:19Z</dcterms:created>
  <dcterms:modified xsi:type="dcterms:W3CDTF">2026-02-12T07:24:05Z</dcterms:modified>
</cp:coreProperties>
</file>