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kyotouac-my.sharepoint.com/personal/umehara_yusuke_26u_st_kyoto-u_ac_jp/Documents/"/>
    </mc:Choice>
  </mc:AlternateContent>
  <xr:revisionPtr revIDLastSave="6" documentId="8_{FF45D9E2-1972-4D06-BE32-BFEC2FB7E6C4}" xr6:coauthVersionLast="47" xr6:coauthVersionMax="47" xr10:uidLastSave="{91271FB8-ED8F-4786-8E17-8B15FC6B80A3}"/>
  <bookViews>
    <workbookView xWindow="-110" yWindow="-110" windowWidth="19420" windowHeight="10300" activeTab="2" xr2:uid="{626247AC-B45C-44B5-95F1-2BED0567C5E9}"/>
  </bookViews>
  <sheets>
    <sheet name="WinSolar" sheetId="1" r:id="rId1"/>
    <sheet name="CCS" sheetId="2" r:id="rId2"/>
    <sheet name="CO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B11" i="2"/>
  <c r="P91" i="2"/>
  <c r="N91" i="2"/>
  <c r="L91" i="2"/>
  <c r="L9" i="1"/>
  <c r="I7" i="1"/>
  <c r="I15" i="1"/>
  <c r="I12" i="1"/>
  <c r="F13" i="1"/>
  <c r="F10" i="1"/>
  <c r="F5" i="1"/>
</calcChain>
</file>

<file path=xl/sharedStrings.xml><?xml version="1.0" encoding="utf-8"?>
<sst xmlns="http://schemas.openxmlformats.org/spreadsheetml/2006/main" count="13" uniqueCount="13">
  <si>
    <t>CCS</t>
    <phoneticPr fontId="1"/>
  </si>
  <si>
    <t>Potential</t>
    <phoneticPr fontId="1"/>
  </si>
  <si>
    <t>High</t>
    <phoneticPr fontId="1"/>
  </si>
  <si>
    <t>Middle</t>
    <phoneticPr fontId="1"/>
  </si>
  <si>
    <t>Low</t>
    <phoneticPr fontId="1"/>
  </si>
  <si>
    <t>GF</t>
    <phoneticPr fontId="1"/>
  </si>
  <si>
    <t>IEPC</t>
    <phoneticPr fontId="1"/>
  </si>
  <si>
    <t>PCC</t>
    <phoneticPr fontId="1"/>
  </si>
  <si>
    <t>AP</t>
    <phoneticPr fontId="1"/>
  </si>
  <si>
    <t>GDR</t>
    <phoneticPr fontId="1"/>
  </si>
  <si>
    <t>]</t>
    <phoneticPr fontId="1"/>
  </si>
  <si>
    <t>Win</t>
    <phoneticPr fontId="1"/>
  </si>
  <si>
    <t>SPV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</si>
</sst>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2" fontId="2" fillId="0" borderId="0" xfId="1" applyNumberFormat="1"/>
  </cellXfs>
  <cellStyles count="2">
    <cellStyle name="標準" xfId="0" builtinId="0"/>
    <cellStyle name="標準 2" xfId="1" xr:uid="{5C8375C9-78DF-419B-AEAD-46C80BD26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累積</a:t>
            </a:r>
            <a:r>
              <a:rPr lang="en-US" altLang="ja-JP"/>
              <a:t>CCS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CCS!$D$7:$G$7</c:f>
              <c:strCache>
                <c:ptCount val="4"/>
                <c:pt idx="0">
                  <c:v>Potential</c:v>
                </c:pt>
                <c:pt idx="1">
                  <c:v>High</c:v>
                </c:pt>
                <c:pt idx="2">
                  <c:v>Middle</c:v>
                </c:pt>
                <c:pt idx="3">
                  <c:v>Low</c:v>
                </c:pt>
              </c:strCache>
            </c:strRef>
          </c:cat>
          <c:val>
            <c:numRef>
              <c:f>CCS!$D$8:$G$8</c:f>
              <c:numCache>
                <c:formatCode>General</c:formatCode>
                <c:ptCount val="4"/>
                <c:pt idx="0" formatCode="0.00">
                  <c:v>40.587566158000001</c:v>
                </c:pt>
                <c:pt idx="1">
                  <c:v>25.6</c:v>
                </c:pt>
                <c:pt idx="2">
                  <c:v>30.1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5-49E8-92CE-A2A0E2E2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52336"/>
        <c:axId val="122463376"/>
      </c:barChart>
      <c:catAx>
        <c:axId val="12245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63376"/>
        <c:crosses val="autoZero"/>
        <c:auto val="1"/>
        <c:lblAlgn val="ctr"/>
        <c:lblOffset val="100"/>
        <c:noMultiLvlLbl val="0"/>
      </c:catAx>
      <c:valAx>
        <c:axId val="1224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累積</a:t>
                </a:r>
                <a:r>
                  <a:rPr lang="en-US" altLang="ja-JP"/>
                  <a:t>CCS(Gt)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5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'CO2'!$E$11:$E$30</c:f>
              <c:numCache>
                <c:formatCode>General</c:formatCode>
                <c:ptCount val="20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  <c:pt idx="10">
                  <c:v>2055</c:v>
                </c:pt>
                <c:pt idx="11">
                  <c:v>2060</c:v>
                </c:pt>
                <c:pt idx="12">
                  <c:v>2065</c:v>
                </c:pt>
                <c:pt idx="13">
                  <c:v>2070</c:v>
                </c:pt>
                <c:pt idx="14">
                  <c:v>2075</c:v>
                </c:pt>
                <c:pt idx="15">
                  <c:v>2080</c:v>
                </c:pt>
                <c:pt idx="16">
                  <c:v>2085</c:v>
                </c:pt>
                <c:pt idx="17">
                  <c:v>2090</c:v>
                </c:pt>
                <c:pt idx="18">
                  <c:v>2095</c:v>
                </c:pt>
                <c:pt idx="19">
                  <c:v>2100</c:v>
                </c:pt>
              </c:numCache>
            </c:numRef>
          </c:xVal>
          <c:yVal>
            <c:numRef>
              <c:f>'CO2'!$F$11:$F$30</c:f>
              <c:numCache>
                <c:formatCode>General</c:formatCode>
                <c:ptCount val="20"/>
                <c:pt idx="0">
                  <c:v>1282.33</c:v>
                </c:pt>
                <c:pt idx="1">
                  <c:v>1160.19</c:v>
                </c:pt>
                <c:pt idx="2">
                  <c:v>1174.1099999999999</c:v>
                </c:pt>
                <c:pt idx="3">
                  <c:v>1001.85</c:v>
                </c:pt>
                <c:pt idx="4">
                  <c:v>823.95600000000002</c:v>
                </c:pt>
                <c:pt idx="5">
                  <c:v>647.41600000000005</c:v>
                </c:pt>
                <c:pt idx="6">
                  <c:v>470.28199999999998</c:v>
                </c:pt>
                <c:pt idx="7">
                  <c:v>294.24200000000002</c:v>
                </c:pt>
                <c:pt idx="8">
                  <c:v>116.872</c:v>
                </c:pt>
                <c:pt idx="9">
                  <c:v>-59.9133</c:v>
                </c:pt>
                <c:pt idx="10">
                  <c:v>-28.006900000000002</c:v>
                </c:pt>
                <c:pt idx="11">
                  <c:v>3.55403</c:v>
                </c:pt>
                <c:pt idx="12">
                  <c:v>35.441899999999997</c:v>
                </c:pt>
                <c:pt idx="13">
                  <c:v>66.404600000000002</c:v>
                </c:pt>
                <c:pt idx="14">
                  <c:v>97.307900000000004</c:v>
                </c:pt>
                <c:pt idx="15">
                  <c:v>128.10599999999999</c:v>
                </c:pt>
                <c:pt idx="16">
                  <c:v>158.84</c:v>
                </c:pt>
                <c:pt idx="17">
                  <c:v>189.61500000000001</c:v>
                </c:pt>
                <c:pt idx="18">
                  <c:v>220.482</c:v>
                </c:pt>
                <c:pt idx="19">
                  <c:v>251.36099999999999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2-4EFB-AB0F-52C3B7BCDE86}"/>
            </c:ext>
          </c:extLst>
        </c:ser>
        <c:ser>
          <c:idx val="1"/>
          <c:order val="1"/>
          <c:tx>
            <c:v>Middle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'CO2'!$E$11:$E$30</c:f>
              <c:numCache>
                <c:formatCode>General</c:formatCode>
                <c:ptCount val="20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  <c:pt idx="10">
                  <c:v>2055</c:v>
                </c:pt>
                <c:pt idx="11">
                  <c:v>2060</c:v>
                </c:pt>
                <c:pt idx="12">
                  <c:v>2065</c:v>
                </c:pt>
                <c:pt idx="13">
                  <c:v>2070</c:v>
                </c:pt>
                <c:pt idx="14">
                  <c:v>2075</c:v>
                </c:pt>
                <c:pt idx="15">
                  <c:v>2080</c:v>
                </c:pt>
                <c:pt idx="16">
                  <c:v>2085</c:v>
                </c:pt>
                <c:pt idx="17">
                  <c:v>2090</c:v>
                </c:pt>
                <c:pt idx="18">
                  <c:v>2095</c:v>
                </c:pt>
                <c:pt idx="19">
                  <c:v>2100</c:v>
                </c:pt>
              </c:numCache>
            </c:numRef>
          </c:xVal>
          <c:yVal>
            <c:numRef>
              <c:f>'CO2'!$G$11:$G$30</c:f>
              <c:numCache>
                <c:formatCode>General</c:formatCode>
                <c:ptCount val="20"/>
                <c:pt idx="0">
                  <c:v>1282.33</c:v>
                </c:pt>
                <c:pt idx="1">
                  <c:v>1160.19</c:v>
                </c:pt>
                <c:pt idx="2">
                  <c:v>1174.1099999999999</c:v>
                </c:pt>
                <c:pt idx="3">
                  <c:v>1001.85</c:v>
                </c:pt>
                <c:pt idx="4">
                  <c:v>823.95600000000002</c:v>
                </c:pt>
                <c:pt idx="5">
                  <c:v>647.41600000000005</c:v>
                </c:pt>
                <c:pt idx="6">
                  <c:v>470.28199999999998</c:v>
                </c:pt>
                <c:pt idx="7">
                  <c:v>294.24200000000002</c:v>
                </c:pt>
                <c:pt idx="8">
                  <c:v>116.872</c:v>
                </c:pt>
                <c:pt idx="9">
                  <c:v>-59.9133</c:v>
                </c:pt>
                <c:pt idx="10">
                  <c:v>-52.933799999999998</c:v>
                </c:pt>
                <c:pt idx="11">
                  <c:v>-46.314500000000002</c:v>
                </c:pt>
                <c:pt idx="12">
                  <c:v>-39.344200000000001</c:v>
                </c:pt>
                <c:pt idx="13">
                  <c:v>-33.305900000000001</c:v>
                </c:pt>
                <c:pt idx="14">
                  <c:v>-27.322600000000001</c:v>
                </c:pt>
                <c:pt idx="15">
                  <c:v>-21.444099999999999</c:v>
                </c:pt>
                <c:pt idx="16">
                  <c:v>-15.6273</c:v>
                </c:pt>
                <c:pt idx="17">
                  <c:v>-9.7430900000000005</c:v>
                </c:pt>
                <c:pt idx="18">
                  <c:v>-3.7888600000000001</c:v>
                </c:pt>
                <c:pt idx="19">
                  <c:v>2.1544400000000001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72-4EFB-AB0F-52C3B7BCDE86}"/>
            </c:ext>
          </c:extLst>
        </c:ser>
        <c:ser>
          <c:idx val="2"/>
          <c:order val="2"/>
          <c:tx>
            <c:v>Low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'CO2'!$E$11:$E$30</c:f>
              <c:numCache>
                <c:formatCode>General</c:formatCode>
                <c:ptCount val="20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  <c:pt idx="10">
                  <c:v>2055</c:v>
                </c:pt>
                <c:pt idx="11">
                  <c:v>2060</c:v>
                </c:pt>
                <c:pt idx="12">
                  <c:v>2065</c:v>
                </c:pt>
                <c:pt idx="13">
                  <c:v>2070</c:v>
                </c:pt>
                <c:pt idx="14">
                  <c:v>2075</c:v>
                </c:pt>
                <c:pt idx="15">
                  <c:v>2080</c:v>
                </c:pt>
                <c:pt idx="16">
                  <c:v>2085</c:v>
                </c:pt>
                <c:pt idx="17">
                  <c:v>2090</c:v>
                </c:pt>
                <c:pt idx="18">
                  <c:v>2095</c:v>
                </c:pt>
                <c:pt idx="19">
                  <c:v>2100</c:v>
                </c:pt>
              </c:numCache>
            </c:numRef>
          </c:xVal>
          <c:yVal>
            <c:numRef>
              <c:f>'CO2'!$H$11:$H$30</c:f>
              <c:numCache>
                <c:formatCode>General</c:formatCode>
                <c:ptCount val="20"/>
                <c:pt idx="0">
                  <c:v>1282.33</c:v>
                </c:pt>
                <c:pt idx="1">
                  <c:v>1160.19</c:v>
                </c:pt>
                <c:pt idx="2">
                  <c:v>1174.1099999999999</c:v>
                </c:pt>
                <c:pt idx="3">
                  <c:v>1001.85</c:v>
                </c:pt>
                <c:pt idx="4">
                  <c:v>823.95600000000002</c:v>
                </c:pt>
                <c:pt idx="5">
                  <c:v>647.41600000000005</c:v>
                </c:pt>
                <c:pt idx="6">
                  <c:v>470.28199999999998</c:v>
                </c:pt>
                <c:pt idx="7">
                  <c:v>294.24200000000002</c:v>
                </c:pt>
                <c:pt idx="8">
                  <c:v>116.872</c:v>
                </c:pt>
                <c:pt idx="9">
                  <c:v>-59.9133</c:v>
                </c:pt>
                <c:pt idx="10">
                  <c:v>-177.57300000000001</c:v>
                </c:pt>
                <c:pt idx="11">
                  <c:v>-295.62099999999998</c:v>
                </c:pt>
                <c:pt idx="12">
                  <c:v>-413.29300000000001</c:v>
                </c:pt>
                <c:pt idx="13">
                  <c:v>-531.88300000000004</c:v>
                </c:pt>
                <c:pt idx="14">
                  <c:v>-650.52300000000002</c:v>
                </c:pt>
                <c:pt idx="15">
                  <c:v>-769.26300000000003</c:v>
                </c:pt>
                <c:pt idx="16">
                  <c:v>-888.06500000000005</c:v>
                </c:pt>
                <c:pt idx="17">
                  <c:v>-1006.8</c:v>
                </c:pt>
                <c:pt idx="18">
                  <c:v>-1125.47</c:v>
                </c:pt>
                <c:pt idx="19">
                  <c:v>-1244.1400000000001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72-4EFB-AB0F-52C3B7BCD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34576"/>
        <c:axId val="122435056"/>
      </c:scatterChart>
      <c:valAx>
        <c:axId val="122434576"/>
        <c:scaling>
          <c:orientation val="minMax"/>
          <c:max val="2110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35056"/>
        <c:crosses val="autoZero"/>
        <c:crossBetween val="midCat"/>
      </c:valAx>
      <c:valAx>
        <c:axId val="12243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CO2 emission (Mt)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3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106156</xdr:colOff>
      <xdr:row>10</xdr:row>
      <xdr:rowOff>46244</xdr:rowOff>
    </xdr:from>
    <xdr:to>
      <xdr:col>8</xdr:col>
      <xdr:colOff>577317</xdr:colOff>
      <xdr:row>21</xdr:row>
      <xdr:rowOff>150073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2DFA9EC-C538-BD16-70B0-AB6913159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676274</xdr:colOff>
      <xdr:row>24</xdr:row>
      <xdr:rowOff>38100</xdr:rowOff>
    </xdr:from>
    <xdr:to>
      <xdr:col>19</xdr:col>
      <xdr:colOff>247649</xdr:colOff>
      <xdr:row>40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70D234B-71C6-A117-074E-019AEEBF0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8BC9-40E6-4665-833C-620DE2347E03}">
  <dimension ref="E3:L15"/>
  <sheetViews>
    <sheetView topLeftCell="C21" zoomScale="108" workbookViewId="0">
      <selection activeCell="J9" sqref="J9"/>
    </sheetView>
  </sheetViews>
  <sheetFormatPr defaultRowHeight="18" x14ac:dyDescent="0.55000000000000004"/>
  <sheetData>
    <row r="3" spans="5:12" x14ac:dyDescent="0.55000000000000004">
      <c r="E3">
        <v>94524.1</v>
      </c>
    </row>
    <row r="4" spans="5:12" x14ac:dyDescent="0.55000000000000004">
      <c r="E4">
        <v>13301.7</v>
      </c>
      <c r="H4" t="s">
        <v>11</v>
      </c>
    </row>
    <row r="5" spans="5:12" x14ac:dyDescent="0.55000000000000004">
      <c r="E5">
        <v>3381.79</v>
      </c>
      <c r="F5">
        <f>SUM(E3:E5)</f>
        <v>111207.59</v>
      </c>
      <c r="H5">
        <v>88829.5</v>
      </c>
    </row>
    <row r="6" spans="5:12" x14ac:dyDescent="0.55000000000000004">
      <c r="E6">
        <v>3766.52</v>
      </c>
      <c r="H6">
        <v>13877.8</v>
      </c>
      <c r="K6" t="s">
        <v>12</v>
      </c>
    </row>
    <row r="7" spans="5:12" x14ac:dyDescent="0.55000000000000004">
      <c r="E7">
        <v>5586.34</v>
      </c>
      <c r="H7">
        <v>3380.03</v>
      </c>
      <c r="I7">
        <f>SUM(H5:H7)/10</f>
        <v>10608.733</v>
      </c>
      <c r="K7">
        <v>2862.32</v>
      </c>
    </row>
    <row r="8" spans="5:12" x14ac:dyDescent="0.55000000000000004">
      <c r="E8">
        <v>2368.13</v>
      </c>
      <c r="H8">
        <v>3746.49</v>
      </c>
      <c r="K8">
        <v>4839.68</v>
      </c>
    </row>
    <row r="9" spans="5:12" x14ac:dyDescent="0.55000000000000004">
      <c r="E9">
        <v>740.96500000000003</v>
      </c>
      <c r="H9">
        <v>5590.55</v>
      </c>
      <c r="K9">
        <v>15919.4</v>
      </c>
      <c r="L9">
        <f>SUM(K7:K9)/10</f>
        <v>2362.1400000000003</v>
      </c>
    </row>
    <row r="10" spans="5:12" x14ac:dyDescent="0.55000000000000004">
      <c r="E10">
        <v>38.7806</v>
      </c>
      <c r="F10">
        <f>SUM(E6:E10)</f>
        <v>12500.735600000002</v>
      </c>
      <c r="H10">
        <v>2342.04</v>
      </c>
    </row>
    <row r="11" spans="5:12" x14ac:dyDescent="0.55000000000000004">
      <c r="E11">
        <v>1478.33</v>
      </c>
      <c r="H11">
        <v>773.04499999999996</v>
      </c>
    </row>
    <row r="12" spans="5:12" x14ac:dyDescent="0.55000000000000004">
      <c r="E12">
        <v>2680.74</v>
      </c>
      <c r="H12">
        <v>38.774999999999999</v>
      </c>
      <c r="I12">
        <f>SUM(H8:H12)</f>
        <v>12490.900000000001</v>
      </c>
    </row>
    <row r="13" spans="5:12" x14ac:dyDescent="0.55000000000000004">
      <c r="E13">
        <v>813.01400000000001</v>
      </c>
      <c r="F13">
        <f>SUM(E11:E13)</f>
        <v>4972.0839999999998</v>
      </c>
      <c r="H13">
        <v>1357.84</v>
      </c>
    </row>
    <row r="14" spans="5:12" x14ac:dyDescent="0.55000000000000004">
      <c r="H14">
        <v>2658.7</v>
      </c>
    </row>
    <row r="15" spans="5:12" x14ac:dyDescent="0.55000000000000004">
      <c r="H15">
        <v>811.94</v>
      </c>
      <c r="I15">
        <f>SUM(H13:H15)</f>
        <v>4828.4799999999996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2A0E-23ED-4586-8E83-CB48B707632F}">
  <dimension ref="A7:P91"/>
  <sheetViews>
    <sheetView topLeftCell="A10" zoomScale="93" workbookViewId="0">
      <selection activeCell="J11" sqref="J11"/>
    </sheetView>
  </sheetViews>
  <sheetFormatPr defaultRowHeight="18" x14ac:dyDescent="0.55000000000000004"/>
  <sheetData>
    <row r="7" spans="1:15" x14ac:dyDescent="0.55000000000000004">
      <c r="D7" t="s">
        <v>1</v>
      </c>
      <c r="E7" t="s">
        <v>2</v>
      </c>
      <c r="F7" t="s">
        <v>3</v>
      </c>
      <c r="G7" t="s">
        <v>4</v>
      </c>
    </row>
    <row r="8" spans="1:15" x14ac:dyDescent="0.55000000000000004">
      <c r="B8" t="s">
        <v>10</v>
      </c>
      <c r="C8" t="s">
        <v>0</v>
      </c>
      <c r="D8" s="1">
        <v>40.587566158000001</v>
      </c>
      <c r="E8">
        <v>25.6</v>
      </c>
      <c r="F8">
        <v>30.1</v>
      </c>
      <c r="G8">
        <v>108</v>
      </c>
    </row>
    <row r="11" spans="1:15" x14ac:dyDescent="0.55000000000000004">
      <c r="A11">
        <f>SUM(A14:A22)</f>
        <v>24.557038200000001</v>
      </c>
      <c r="B11">
        <f>SUM(B14:B25)</f>
        <v>22.920166899999998</v>
      </c>
    </row>
    <row r="13" spans="1:15" x14ac:dyDescent="0.55000000000000004">
      <c r="K13">
        <v>1.9034</v>
      </c>
      <c r="M13">
        <v>1.9034</v>
      </c>
      <c r="O13">
        <v>2.02868</v>
      </c>
    </row>
    <row r="14" spans="1:15" x14ac:dyDescent="0.55000000000000004">
      <c r="A14">
        <v>0.33540999999999999</v>
      </c>
      <c r="B14">
        <v>0.31757800000000003</v>
      </c>
      <c r="K14">
        <v>5.9867400000000002</v>
      </c>
      <c r="M14">
        <v>5.9867400000000002</v>
      </c>
      <c r="O14">
        <v>7.6742900000000001</v>
      </c>
    </row>
    <row r="15" spans="1:15" x14ac:dyDescent="0.55000000000000004">
      <c r="A15">
        <v>0.36649599999999999</v>
      </c>
      <c r="B15">
        <v>0.15968399999999999</v>
      </c>
      <c r="K15">
        <v>9.6240500000000004</v>
      </c>
      <c r="M15">
        <v>9.6240500000000004</v>
      </c>
      <c r="O15">
        <v>12.2577</v>
      </c>
    </row>
    <row r="16" spans="1:15" x14ac:dyDescent="0.55000000000000004">
      <c r="A16">
        <v>15.438000000000001</v>
      </c>
      <c r="B16">
        <v>4.5988100000000003</v>
      </c>
      <c r="K16">
        <v>20.798300000000001</v>
      </c>
      <c r="M16">
        <v>20.798300000000001</v>
      </c>
      <c r="O16">
        <v>27.985600000000002</v>
      </c>
    </row>
    <row r="17" spans="1:15" x14ac:dyDescent="0.55000000000000004">
      <c r="A17">
        <v>2.3278199999999999E-2</v>
      </c>
      <c r="B17">
        <v>2.3157899999999999E-2</v>
      </c>
      <c r="K17">
        <v>34.1738</v>
      </c>
      <c r="M17">
        <v>34.1738</v>
      </c>
      <c r="O17">
        <v>43.510399999999997</v>
      </c>
    </row>
    <row r="18" spans="1:15" x14ac:dyDescent="0.55000000000000004">
      <c r="A18">
        <v>0.40973300000000001</v>
      </c>
      <c r="B18">
        <v>0.40973300000000001</v>
      </c>
      <c r="K18">
        <v>46.692100000000003</v>
      </c>
      <c r="M18">
        <v>46.692100000000003</v>
      </c>
      <c r="O18">
        <v>58.572699999999998</v>
      </c>
    </row>
    <row r="19" spans="1:15" x14ac:dyDescent="0.55000000000000004">
      <c r="A19">
        <v>1.60646</v>
      </c>
      <c r="B19">
        <v>0.399702</v>
      </c>
      <c r="K19">
        <v>61.448500000000003</v>
      </c>
      <c r="M19">
        <v>61.448500000000003</v>
      </c>
      <c r="O19">
        <v>73.347300000000004</v>
      </c>
    </row>
    <row r="20" spans="1:15" x14ac:dyDescent="0.55000000000000004">
      <c r="A20">
        <v>0.96191899999999997</v>
      </c>
      <c r="B20">
        <v>0.42148200000000002</v>
      </c>
      <c r="K20">
        <v>75.941299999999998</v>
      </c>
      <c r="M20">
        <v>75.941299999999998</v>
      </c>
      <c r="O20">
        <v>87.992199999999997</v>
      </c>
    </row>
    <row r="21" spans="1:15" x14ac:dyDescent="0.55000000000000004">
      <c r="A21">
        <v>0.98045199999999999</v>
      </c>
      <c r="B21">
        <v>14.8279</v>
      </c>
      <c r="K21">
        <v>90.492699999999999</v>
      </c>
      <c r="M21">
        <v>90.492699999999999</v>
      </c>
      <c r="O21">
        <v>101.735</v>
      </c>
    </row>
    <row r="22" spans="1:15" x14ac:dyDescent="0.55000000000000004">
      <c r="A22">
        <v>4.4352900000000002</v>
      </c>
      <c r="B22">
        <v>0</v>
      </c>
      <c r="K22">
        <v>105.831</v>
      </c>
      <c r="M22">
        <v>105.831</v>
      </c>
      <c r="O22">
        <v>114.417</v>
      </c>
    </row>
    <row r="23" spans="1:15" x14ac:dyDescent="0.55000000000000004">
      <c r="B23">
        <v>0</v>
      </c>
      <c r="K23">
        <v>121.65600000000001</v>
      </c>
      <c r="M23">
        <v>121.65600000000001</v>
      </c>
      <c r="O23">
        <v>126.83199999999999</v>
      </c>
    </row>
    <row r="24" spans="1:15" x14ac:dyDescent="0.55000000000000004">
      <c r="B24">
        <v>1.7621199999999999</v>
      </c>
      <c r="K24">
        <v>137.976</v>
      </c>
      <c r="M24">
        <v>137.976</v>
      </c>
      <c r="O24">
        <v>148.001</v>
      </c>
    </row>
    <row r="25" spans="1:15" x14ac:dyDescent="0.55000000000000004">
      <c r="K25">
        <v>155.49199999999999</v>
      </c>
      <c r="M25">
        <v>155.49199999999999</v>
      </c>
      <c r="O25">
        <v>164.881</v>
      </c>
    </row>
    <row r="26" spans="1:15" x14ac:dyDescent="0.55000000000000004">
      <c r="K26">
        <v>175.23500000000001</v>
      </c>
      <c r="M26">
        <v>175.23500000000001</v>
      </c>
      <c r="O26">
        <v>183.86</v>
      </c>
    </row>
    <row r="27" spans="1:15" x14ac:dyDescent="0.55000000000000004">
      <c r="K27">
        <v>204.17</v>
      </c>
      <c r="M27">
        <v>204.17</v>
      </c>
      <c r="O27">
        <v>203.733</v>
      </c>
    </row>
    <row r="28" spans="1:15" x14ac:dyDescent="0.55000000000000004">
      <c r="K28">
        <v>229.28200000000001</v>
      </c>
      <c r="M28">
        <v>229.28200000000001</v>
      </c>
      <c r="O28">
        <v>225.21299999999999</v>
      </c>
    </row>
    <row r="29" spans="1:15" x14ac:dyDescent="0.55000000000000004">
      <c r="K29">
        <v>257.18</v>
      </c>
      <c r="M29">
        <v>257.18</v>
      </c>
      <c r="O29">
        <v>248.56700000000001</v>
      </c>
    </row>
    <row r="30" spans="1:15" x14ac:dyDescent="0.55000000000000004">
      <c r="K30">
        <v>285.06900000000002</v>
      </c>
      <c r="M30">
        <v>285.06900000000002</v>
      </c>
      <c r="O30">
        <v>274.33699999999999</v>
      </c>
    </row>
    <row r="31" spans="1:15" x14ac:dyDescent="0.55000000000000004">
      <c r="K31">
        <v>310.79500000000002</v>
      </c>
      <c r="M31">
        <v>310.79500000000002</v>
      </c>
      <c r="O31">
        <v>303.97199999999998</v>
      </c>
    </row>
    <row r="32" spans="1:15" x14ac:dyDescent="0.55000000000000004">
      <c r="K32">
        <v>334.34</v>
      </c>
      <c r="M32">
        <v>334.34</v>
      </c>
      <c r="O32">
        <v>352.03899999999999</v>
      </c>
    </row>
    <row r="33" spans="11:15" x14ac:dyDescent="0.55000000000000004">
      <c r="K33">
        <v>356.065</v>
      </c>
      <c r="M33">
        <v>356.065</v>
      </c>
      <c r="O33">
        <v>402.81700000000001</v>
      </c>
    </row>
    <row r="34" spans="11:15" x14ac:dyDescent="0.55000000000000004">
      <c r="K34">
        <v>377.62400000000002</v>
      </c>
      <c r="M34">
        <v>377.62400000000002</v>
      </c>
      <c r="O34">
        <v>452.875</v>
      </c>
    </row>
    <row r="35" spans="11:15" x14ac:dyDescent="0.55000000000000004">
      <c r="K35">
        <v>398.56599999999997</v>
      </c>
      <c r="M35">
        <v>398.56599999999997</v>
      </c>
      <c r="O35">
        <v>497.28899999999999</v>
      </c>
    </row>
    <row r="36" spans="11:15" x14ac:dyDescent="0.55000000000000004">
      <c r="K36">
        <v>419.61700000000002</v>
      </c>
      <c r="M36">
        <v>419.61700000000002</v>
      </c>
      <c r="O36">
        <v>548.96600000000001</v>
      </c>
    </row>
    <row r="37" spans="11:15" x14ac:dyDescent="0.55000000000000004">
      <c r="K37">
        <v>440.25400000000002</v>
      </c>
      <c r="M37">
        <v>440.25400000000002</v>
      </c>
      <c r="O37">
        <v>604.70399999999995</v>
      </c>
    </row>
    <row r="38" spans="11:15" x14ac:dyDescent="0.55000000000000004">
      <c r="K38">
        <v>458.90199999999999</v>
      </c>
      <c r="M38">
        <v>458.90199999999999</v>
      </c>
      <c r="O38">
        <v>660.82399999999996</v>
      </c>
    </row>
    <row r="39" spans="11:15" x14ac:dyDescent="0.55000000000000004">
      <c r="K39">
        <v>477.37400000000002</v>
      </c>
      <c r="M39">
        <v>477.37400000000002</v>
      </c>
      <c r="O39">
        <v>716.29499999999996</v>
      </c>
    </row>
    <row r="40" spans="11:15" x14ac:dyDescent="0.55000000000000004">
      <c r="K40">
        <v>494.17899999999997</v>
      </c>
      <c r="M40">
        <v>494.17899999999997</v>
      </c>
      <c r="O40">
        <v>771.24400000000003</v>
      </c>
    </row>
    <row r="41" spans="11:15" x14ac:dyDescent="0.55000000000000004">
      <c r="K41">
        <v>502.11599999999999</v>
      </c>
      <c r="M41">
        <v>502.11599999999999</v>
      </c>
      <c r="O41">
        <v>826.22199999999998</v>
      </c>
    </row>
    <row r="42" spans="11:15" x14ac:dyDescent="0.55000000000000004">
      <c r="K42">
        <v>492.82900000000001</v>
      </c>
      <c r="M42">
        <v>494.53199999999998</v>
      </c>
      <c r="O42">
        <v>860.56600000000003</v>
      </c>
    </row>
    <row r="43" spans="11:15" x14ac:dyDescent="0.55000000000000004">
      <c r="K43">
        <v>485.16899999999998</v>
      </c>
      <c r="M43">
        <v>488.41899999999998</v>
      </c>
      <c r="O43">
        <v>894.94299999999998</v>
      </c>
    </row>
    <row r="44" spans="11:15" x14ac:dyDescent="0.55000000000000004">
      <c r="K44">
        <v>479.10899999999998</v>
      </c>
      <c r="M44">
        <v>483.82299999999998</v>
      </c>
      <c r="O44">
        <v>930.15</v>
      </c>
    </row>
    <row r="45" spans="11:15" x14ac:dyDescent="0.55000000000000004">
      <c r="K45">
        <v>474.00400000000002</v>
      </c>
      <c r="M45">
        <v>480.24599999999998</v>
      </c>
      <c r="O45">
        <v>966.52599999999995</v>
      </c>
    </row>
    <row r="46" spans="11:15" x14ac:dyDescent="0.55000000000000004">
      <c r="K46">
        <v>470.13200000000001</v>
      </c>
      <c r="M46">
        <v>477.77300000000002</v>
      </c>
      <c r="O46">
        <v>1002.82</v>
      </c>
    </row>
    <row r="47" spans="11:15" x14ac:dyDescent="0.55000000000000004">
      <c r="K47">
        <v>466.81099999999998</v>
      </c>
      <c r="M47">
        <v>475.83600000000001</v>
      </c>
      <c r="O47">
        <v>1038.79</v>
      </c>
    </row>
    <row r="48" spans="11:15" x14ac:dyDescent="0.55000000000000004">
      <c r="K48">
        <v>463.80500000000001</v>
      </c>
      <c r="M48">
        <v>474.21199999999999</v>
      </c>
      <c r="O48">
        <v>1075.3699999999999</v>
      </c>
    </row>
    <row r="49" spans="11:15" x14ac:dyDescent="0.55000000000000004">
      <c r="K49">
        <v>461.12099999999998</v>
      </c>
      <c r="M49">
        <v>473.03300000000002</v>
      </c>
      <c r="O49">
        <v>1112.32</v>
      </c>
    </row>
    <row r="50" spans="11:15" x14ac:dyDescent="0.55000000000000004">
      <c r="K50">
        <v>457.48899999999998</v>
      </c>
      <c r="M50">
        <v>471.38499999999999</v>
      </c>
      <c r="O50">
        <v>1149.77</v>
      </c>
    </row>
    <row r="51" spans="11:15" x14ac:dyDescent="0.55000000000000004">
      <c r="K51">
        <v>455.13</v>
      </c>
      <c r="M51">
        <v>470.91899999999998</v>
      </c>
      <c r="O51">
        <v>1187.31</v>
      </c>
    </row>
    <row r="52" spans="11:15" x14ac:dyDescent="0.55000000000000004">
      <c r="K52">
        <v>452.94299999999998</v>
      </c>
      <c r="M52">
        <v>470.49799999999999</v>
      </c>
      <c r="O52">
        <v>1225.4000000000001</v>
      </c>
    </row>
    <row r="53" spans="11:15" x14ac:dyDescent="0.55000000000000004">
      <c r="K53">
        <v>451.44600000000003</v>
      </c>
      <c r="M53">
        <v>470.245</v>
      </c>
      <c r="O53">
        <v>1264.32</v>
      </c>
    </row>
    <row r="54" spans="11:15" x14ac:dyDescent="0.55000000000000004">
      <c r="K54">
        <v>449.01100000000002</v>
      </c>
      <c r="M54">
        <v>470.09399999999999</v>
      </c>
      <c r="O54">
        <v>1303.82</v>
      </c>
    </row>
    <row r="55" spans="11:15" x14ac:dyDescent="0.55000000000000004">
      <c r="K55">
        <v>444.58</v>
      </c>
      <c r="M55">
        <v>470.04700000000003</v>
      </c>
      <c r="O55">
        <v>1348.13</v>
      </c>
    </row>
    <row r="56" spans="11:15" x14ac:dyDescent="0.55000000000000004">
      <c r="K56">
        <v>439.89499999999998</v>
      </c>
      <c r="M56">
        <v>470.101</v>
      </c>
      <c r="O56">
        <v>1401.04</v>
      </c>
    </row>
    <row r="57" spans="11:15" x14ac:dyDescent="0.55000000000000004">
      <c r="K57">
        <v>435.08499999999998</v>
      </c>
      <c r="M57">
        <v>470.26400000000001</v>
      </c>
      <c r="O57">
        <v>1457.35</v>
      </c>
    </row>
    <row r="58" spans="11:15" x14ac:dyDescent="0.55000000000000004">
      <c r="K58">
        <v>430.56200000000001</v>
      </c>
      <c r="M58">
        <v>470.48700000000002</v>
      </c>
      <c r="O58">
        <v>1514.04</v>
      </c>
    </row>
    <row r="59" spans="11:15" x14ac:dyDescent="0.55000000000000004">
      <c r="K59">
        <v>425.50700000000001</v>
      </c>
      <c r="M59">
        <v>470.76600000000002</v>
      </c>
      <c r="O59">
        <v>1570.74</v>
      </c>
    </row>
    <row r="60" spans="11:15" x14ac:dyDescent="0.55000000000000004">
      <c r="K60">
        <v>420.30799999999999</v>
      </c>
      <c r="M60">
        <v>471.1</v>
      </c>
      <c r="O60">
        <v>1627.43</v>
      </c>
    </row>
    <row r="61" spans="11:15" x14ac:dyDescent="0.55000000000000004">
      <c r="K61">
        <v>414.72399999999999</v>
      </c>
      <c r="M61">
        <v>471.22300000000001</v>
      </c>
      <c r="O61">
        <v>1682.79</v>
      </c>
    </row>
    <row r="62" spans="11:15" x14ac:dyDescent="0.55000000000000004">
      <c r="K62">
        <v>409.38900000000001</v>
      </c>
      <c r="M62">
        <v>471.30200000000002</v>
      </c>
      <c r="O62">
        <v>1738.14</v>
      </c>
    </row>
    <row r="63" spans="11:15" x14ac:dyDescent="0.55000000000000004">
      <c r="K63">
        <v>404.26</v>
      </c>
      <c r="M63">
        <v>471.392</v>
      </c>
      <c r="O63">
        <v>1793.54</v>
      </c>
    </row>
    <row r="64" spans="11:15" x14ac:dyDescent="0.55000000000000004">
      <c r="K64">
        <v>399.02800000000002</v>
      </c>
      <c r="M64">
        <v>471.51400000000001</v>
      </c>
      <c r="O64">
        <v>1848.93</v>
      </c>
    </row>
    <row r="65" spans="11:15" x14ac:dyDescent="0.55000000000000004">
      <c r="K65">
        <v>393.62599999999998</v>
      </c>
      <c r="M65">
        <v>471.65899999999999</v>
      </c>
      <c r="O65">
        <v>1904.31</v>
      </c>
    </row>
    <row r="66" spans="11:15" x14ac:dyDescent="0.55000000000000004">
      <c r="K66">
        <v>388.05900000000003</v>
      </c>
      <c r="M66">
        <v>471.82299999999998</v>
      </c>
      <c r="O66">
        <v>1959.66</v>
      </c>
    </row>
    <row r="67" spans="11:15" x14ac:dyDescent="0.55000000000000004">
      <c r="K67">
        <v>382.31799999999998</v>
      </c>
      <c r="M67">
        <v>471.99799999999999</v>
      </c>
      <c r="O67">
        <v>2015.15</v>
      </c>
    </row>
    <row r="68" spans="11:15" x14ac:dyDescent="0.55000000000000004">
      <c r="K68">
        <v>376.36900000000003</v>
      </c>
      <c r="M68">
        <v>472.15100000000001</v>
      </c>
      <c r="O68">
        <v>2070.63</v>
      </c>
    </row>
    <row r="69" spans="11:15" x14ac:dyDescent="0.55000000000000004">
      <c r="K69">
        <v>370.255</v>
      </c>
      <c r="M69">
        <v>472.22199999999998</v>
      </c>
      <c r="O69">
        <v>2126.06</v>
      </c>
    </row>
    <row r="70" spans="11:15" x14ac:dyDescent="0.55000000000000004">
      <c r="K70">
        <v>364.01799999999997</v>
      </c>
      <c r="M70">
        <v>472.27699999999999</v>
      </c>
      <c r="O70">
        <v>2181.4499999999998</v>
      </c>
    </row>
    <row r="71" spans="11:15" x14ac:dyDescent="0.55000000000000004">
      <c r="K71">
        <v>358.58300000000003</v>
      </c>
      <c r="M71">
        <v>472.24599999999998</v>
      </c>
      <c r="O71">
        <v>2236.61</v>
      </c>
    </row>
    <row r="72" spans="11:15" x14ac:dyDescent="0.55000000000000004">
      <c r="K72">
        <v>353.53399999999999</v>
      </c>
      <c r="M72">
        <v>472.18799999999999</v>
      </c>
      <c r="O72">
        <v>2291.86</v>
      </c>
    </row>
    <row r="73" spans="11:15" x14ac:dyDescent="0.55000000000000004">
      <c r="K73">
        <v>348.66399999999999</v>
      </c>
      <c r="M73">
        <v>472.10500000000002</v>
      </c>
      <c r="O73">
        <v>2347.14</v>
      </c>
    </row>
    <row r="74" spans="11:15" x14ac:dyDescent="0.55000000000000004">
      <c r="K74">
        <v>343.88600000000002</v>
      </c>
      <c r="M74">
        <v>472.25</v>
      </c>
      <c r="O74">
        <v>2402.42</v>
      </c>
    </row>
    <row r="75" spans="11:15" x14ac:dyDescent="0.55000000000000004">
      <c r="K75">
        <v>339.16500000000002</v>
      </c>
      <c r="M75">
        <v>472.221</v>
      </c>
      <c r="O75">
        <v>2457.6799999999998</v>
      </c>
    </row>
    <row r="76" spans="11:15" x14ac:dyDescent="0.55000000000000004">
      <c r="K76">
        <v>334.48599999999999</v>
      </c>
      <c r="M76">
        <v>472.101</v>
      </c>
      <c r="O76">
        <v>2512.92</v>
      </c>
    </row>
    <row r="77" spans="11:15" x14ac:dyDescent="0.55000000000000004">
      <c r="K77">
        <v>329.80399999999997</v>
      </c>
      <c r="M77">
        <v>471.95</v>
      </c>
      <c r="O77">
        <v>2568.19</v>
      </c>
    </row>
    <row r="78" spans="11:15" x14ac:dyDescent="0.55000000000000004">
      <c r="K78">
        <v>325.13799999999998</v>
      </c>
      <c r="M78">
        <v>471.78800000000001</v>
      </c>
      <c r="O78">
        <v>2623.47</v>
      </c>
    </row>
    <row r="79" spans="11:15" x14ac:dyDescent="0.55000000000000004">
      <c r="K79">
        <v>320.49299999999999</v>
      </c>
      <c r="M79">
        <v>471.61200000000002</v>
      </c>
      <c r="O79">
        <v>2678.7</v>
      </c>
    </row>
    <row r="80" spans="11:15" x14ac:dyDescent="0.55000000000000004">
      <c r="K80">
        <v>315.86700000000002</v>
      </c>
      <c r="M80">
        <v>471.404</v>
      </c>
      <c r="O80">
        <v>2733.88</v>
      </c>
    </row>
    <row r="81" spans="11:16" x14ac:dyDescent="0.55000000000000004">
      <c r="K81">
        <v>311.06200000000001</v>
      </c>
      <c r="M81">
        <v>470.98</v>
      </c>
      <c r="O81">
        <v>2787.93</v>
      </c>
    </row>
    <row r="82" spans="11:16" x14ac:dyDescent="0.55000000000000004">
      <c r="K82">
        <v>306.23599999999999</v>
      </c>
      <c r="M82">
        <v>470.505</v>
      </c>
      <c r="O82">
        <v>2841.95</v>
      </c>
    </row>
    <row r="83" spans="11:16" x14ac:dyDescent="0.55000000000000004">
      <c r="K83">
        <v>301.43700000000001</v>
      </c>
      <c r="M83">
        <v>470.024</v>
      </c>
      <c r="O83">
        <v>2896</v>
      </c>
    </row>
    <row r="84" spans="11:16" x14ac:dyDescent="0.55000000000000004">
      <c r="K84">
        <v>296.66199999999998</v>
      </c>
      <c r="M84">
        <v>469.07400000000001</v>
      </c>
      <c r="O84">
        <v>2950.01</v>
      </c>
    </row>
    <row r="85" spans="11:16" x14ac:dyDescent="0.55000000000000004">
      <c r="K85">
        <v>291.91399999999999</v>
      </c>
      <c r="M85">
        <v>467.92599999999999</v>
      </c>
      <c r="O85">
        <v>3003.97</v>
      </c>
    </row>
    <row r="86" spans="11:16" x14ac:dyDescent="0.55000000000000004">
      <c r="K86">
        <v>287.19799999999998</v>
      </c>
      <c r="M86">
        <v>466.71600000000001</v>
      </c>
      <c r="O86">
        <v>3057.88</v>
      </c>
    </row>
    <row r="87" spans="11:16" x14ac:dyDescent="0.55000000000000004">
      <c r="K87">
        <v>282.49400000000003</v>
      </c>
      <c r="M87">
        <v>465.43599999999998</v>
      </c>
      <c r="O87">
        <v>3112.18</v>
      </c>
    </row>
    <row r="88" spans="11:16" x14ac:dyDescent="0.55000000000000004">
      <c r="K88">
        <v>277.83699999999999</v>
      </c>
      <c r="M88">
        <v>464.11700000000002</v>
      </c>
      <c r="O88">
        <v>3166.47</v>
      </c>
    </row>
    <row r="89" spans="11:16" x14ac:dyDescent="0.55000000000000004">
      <c r="K89">
        <v>273.226</v>
      </c>
      <c r="M89">
        <v>462.75900000000001</v>
      </c>
      <c r="O89">
        <v>3220.69</v>
      </c>
    </row>
    <row r="90" spans="11:16" x14ac:dyDescent="0.55000000000000004">
      <c r="K90">
        <v>268.666</v>
      </c>
      <c r="M90">
        <v>461.68099999999998</v>
      </c>
      <c r="O90">
        <v>3274.83</v>
      </c>
    </row>
    <row r="91" spans="11:16" x14ac:dyDescent="0.55000000000000004">
      <c r="K91">
        <v>264.16500000000002</v>
      </c>
      <c r="L91">
        <f>SUM(K13:K91)/1000</f>
        <v>25.676282889999996</v>
      </c>
      <c r="M91">
        <v>460.387</v>
      </c>
      <c r="N91">
        <f>SUM(M13:M91)/1000</f>
        <v>30.179594889999994</v>
      </c>
      <c r="O91">
        <v>3328.88</v>
      </c>
      <c r="P91">
        <f>SUM(O13:O91)/1000</f>
        <v>108.98734687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97F6-39DE-4005-9218-DA19D4BBA9FF}">
  <dimension ref="E11:H40"/>
  <sheetViews>
    <sheetView tabSelected="1" topLeftCell="A6" zoomScale="63" workbookViewId="0">
      <selection activeCell="E36" sqref="E36"/>
    </sheetView>
  </sheetViews>
  <sheetFormatPr defaultRowHeight="18" x14ac:dyDescent="0.55000000000000004"/>
  <sheetData>
    <row r="11" spans="5:8" x14ac:dyDescent="0.55000000000000004">
      <c r="E11">
        <v>2005</v>
      </c>
      <c r="F11">
        <v>1282.33</v>
      </c>
      <c r="G11">
        <v>1282.33</v>
      </c>
      <c r="H11">
        <v>1282.33</v>
      </c>
    </row>
    <row r="12" spans="5:8" x14ac:dyDescent="0.55000000000000004">
      <c r="E12">
        <v>2010</v>
      </c>
      <c r="F12">
        <v>1160.19</v>
      </c>
      <c r="G12">
        <v>1160.19</v>
      </c>
      <c r="H12">
        <v>1160.19</v>
      </c>
    </row>
    <row r="13" spans="5:8" x14ac:dyDescent="0.55000000000000004">
      <c r="E13">
        <v>2015</v>
      </c>
      <c r="F13">
        <v>1174.1099999999999</v>
      </c>
      <c r="G13">
        <v>1174.1099999999999</v>
      </c>
      <c r="H13">
        <v>1174.1099999999999</v>
      </c>
    </row>
    <row r="14" spans="5:8" x14ac:dyDescent="0.55000000000000004">
      <c r="E14">
        <v>2020</v>
      </c>
      <c r="F14">
        <v>1001.85</v>
      </c>
      <c r="G14">
        <v>1001.85</v>
      </c>
      <c r="H14">
        <v>1001.85</v>
      </c>
    </row>
    <row r="15" spans="5:8" x14ac:dyDescent="0.55000000000000004">
      <c r="E15">
        <v>2025</v>
      </c>
      <c r="F15">
        <v>823.95600000000002</v>
      </c>
      <c r="G15">
        <v>823.95600000000002</v>
      </c>
      <c r="H15">
        <v>823.95600000000002</v>
      </c>
    </row>
    <row r="16" spans="5:8" x14ac:dyDescent="0.55000000000000004">
      <c r="E16">
        <v>2030</v>
      </c>
      <c r="F16">
        <v>647.41600000000005</v>
      </c>
      <c r="G16">
        <v>647.41600000000005</v>
      </c>
      <c r="H16">
        <v>647.41600000000005</v>
      </c>
    </row>
    <row r="17" spans="5:8" x14ac:dyDescent="0.55000000000000004">
      <c r="E17">
        <v>2035</v>
      </c>
      <c r="F17">
        <v>470.28199999999998</v>
      </c>
      <c r="G17">
        <v>470.28199999999998</v>
      </c>
      <c r="H17">
        <v>470.28199999999998</v>
      </c>
    </row>
    <row r="18" spans="5:8" x14ac:dyDescent="0.55000000000000004">
      <c r="E18">
        <v>2040</v>
      </c>
      <c r="F18">
        <v>294.24200000000002</v>
      </c>
      <c r="G18">
        <v>294.24200000000002</v>
      </c>
      <c r="H18">
        <v>294.24200000000002</v>
      </c>
    </row>
    <row r="19" spans="5:8" x14ac:dyDescent="0.55000000000000004">
      <c r="E19">
        <v>2045</v>
      </c>
      <c r="F19">
        <v>116.872</v>
      </c>
      <c r="G19">
        <v>116.872</v>
      </c>
      <c r="H19">
        <v>116.872</v>
      </c>
    </row>
    <row r="20" spans="5:8" x14ac:dyDescent="0.55000000000000004">
      <c r="E20">
        <v>2050</v>
      </c>
      <c r="F20">
        <v>-59.9133</v>
      </c>
      <c r="G20">
        <v>-59.9133</v>
      </c>
      <c r="H20">
        <v>-59.9133</v>
      </c>
    </row>
    <row r="21" spans="5:8" x14ac:dyDescent="0.55000000000000004">
      <c r="E21">
        <v>2055</v>
      </c>
      <c r="F21">
        <v>-28.006900000000002</v>
      </c>
      <c r="G21">
        <v>-52.933799999999998</v>
      </c>
      <c r="H21">
        <v>-177.57300000000001</v>
      </c>
    </row>
    <row r="22" spans="5:8" x14ac:dyDescent="0.55000000000000004">
      <c r="E22">
        <v>2060</v>
      </c>
      <c r="F22">
        <v>3.55403</v>
      </c>
      <c r="G22">
        <v>-46.314500000000002</v>
      </c>
      <c r="H22">
        <v>-295.62099999999998</v>
      </c>
    </row>
    <row r="23" spans="5:8" x14ac:dyDescent="0.55000000000000004">
      <c r="E23">
        <v>2065</v>
      </c>
      <c r="F23">
        <v>35.441899999999997</v>
      </c>
      <c r="G23">
        <v>-39.344200000000001</v>
      </c>
      <c r="H23">
        <v>-413.29300000000001</v>
      </c>
    </row>
    <row r="24" spans="5:8" x14ac:dyDescent="0.55000000000000004">
      <c r="E24">
        <v>2070</v>
      </c>
      <c r="F24">
        <v>66.404600000000002</v>
      </c>
      <c r="G24">
        <v>-33.305900000000001</v>
      </c>
      <c r="H24">
        <v>-531.88300000000004</v>
      </c>
    </row>
    <row r="25" spans="5:8" x14ac:dyDescent="0.55000000000000004">
      <c r="E25">
        <v>2075</v>
      </c>
      <c r="F25">
        <v>97.307900000000004</v>
      </c>
      <c r="G25">
        <v>-27.322600000000001</v>
      </c>
      <c r="H25">
        <v>-650.52300000000002</v>
      </c>
    </row>
    <row r="26" spans="5:8" x14ac:dyDescent="0.55000000000000004">
      <c r="E26">
        <v>2080</v>
      </c>
      <c r="F26">
        <v>128.10599999999999</v>
      </c>
      <c r="G26">
        <v>-21.444099999999999</v>
      </c>
      <c r="H26">
        <v>-769.26300000000003</v>
      </c>
    </row>
    <row r="27" spans="5:8" x14ac:dyDescent="0.55000000000000004">
      <c r="E27">
        <v>2085</v>
      </c>
      <c r="F27">
        <v>158.84</v>
      </c>
      <c r="G27">
        <v>-15.6273</v>
      </c>
      <c r="H27">
        <v>-888.06500000000005</v>
      </c>
    </row>
    <row r="28" spans="5:8" x14ac:dyDescent="0.55000000000000004">
      <c r="E28">
        <v>2090</v>
      </c>
      <c r="F28">
        <v>189.61500000000001</v>
      </c>
      <c r="G28">
        <v>-9.7430900000000005</v>
      </c>
      <c r="H28">
        <v>-1006.8</v>
      </c>
    </row>
    <row r="29" spans="5:8" x14ac:dyDescent="0.55000000000000004">
      <c r="E29">
        <v>2095</v>
      </c>
      <c r="F29">
        <v>220.482</v>
      </c>
      <c r="G29">
        <v>-3.7888600000000001</v>
      </c>
      <c r="H29">
        <v>-1125.47</v>
      </c>
    </row>
    <row r="30" spans="5:8" x14ac:dyDescent="0.55000000000000004">
      <c r="E30">
        <v>2100</v>
      </c>
      <c r="F30">
        <v>251.36099999999999</v>
      </c>
      <c r="G30">
        <v>2.1544400000000001</v>
      </c>
      <c r="H30">
        <v>-1244.1400000000001</v>
      </c>
    </row>
    <row r="36" spans="5:6" x14ac:dyDescent="0.55000000000000004">
      <c r="E36" t="s">
        <v>5</v>
      </c>
      <c r="F36">
        <v>-131.58099999999999</v>
      </c>
    </row>
    <row r="37" spans="5:6" x14ac:dyDescent="0.55000000000000004">
      <c r="E37" t="s">
        <v>6</v>
      </c>
      <c r="F37">
        <v>-29.808199999999999</v>
      </c>
    </row>
    <row r="38" spans="5:6" x14ac:dyDescent="0.55000000000000004">
      <c r="E38" t="s">
        <v>7</v>
      </c>
      <c r="F38">
        <v>-29.808199999999999</v>
      </c>
    </row>
    <row r="39" spans="5:6" x14ac:dyDescent="0.55000000000000004">
      <c r="E39" t="s">
        <v>8</v>
      </c>
      <c r="F39">
        <v>-1356.84</v>
      </c>
    </row>
    <row r="40" spans="5:6" x14ac:dyDescent="0.55000000000000004">
      <c r="E40" t="s">
        <v>9</v>
      </c>
      <c r="F40">
        <v>-1356.84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WinSolar</vt:lpstr>
      <vt:lpstr>CCS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umehara.yusuke.26u@st.kyoto-u.ac.jp</dc:creator>
  <cp:lastModifiedBy>umehara.yusuke.26u@st.kyoto-u.ac.jp</cp:lastModifiedBy>
  <dcterms:created xsi:type="dcterms:W3CDTF">2026-02-16T09:00:04Z</dcterms:created>
  <dcterms:modified xsi:type="dcterms:W3CDTF">2026-03-17T00:37:03Z</dcterms:modified>
</cp:coreProperties>
</file>